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<sst xmlns="http://schemas.openxmlformats.org/spreadsheetml/2006/main" count="8091" uniqueCount="3006">
  <si>
    <t>DAMAC - LEADS</t>
  </si>
  <si>
    <t>S.I</t>
  </si>
  <si>
    <t>Date</t>
  </si>
  <si>
    <t xml:space="preserve">Project: </t>
  </si>
  <si>
    <t>Name</t>
  </si>
  <si>
    <t>Mobile</t>
  </si>
  <si>
    <t>Email</t>
  </si>
  <si>
    <t>Agent</t>
  </si>
  <si>
    <t>Stage</t>
  </si>
  <si>
    <t>Damac V2 Villas</t>
  </si>
  <si>
    <t>Syed</t>
  </si>
  <si>
    <t>haseebandrabi@hotmail.com</t>
  </si>
  <si>
    <t>Shruti Rastogi (shruti@hsproperties.ae)</t>
  </si>
  <si>
    <t>Inbound Lead (Sales Pipeline)</t>
  </si>
  <si>
    <t>Shoeb Burhani</t>
  </si>
  <si>
    <t>drshoeb@yahoo.com</t>
  </si>
  <si>
    <t>Hediyeh Makki (heidi@hsproperties.ae)</t>
  </si>
  <si>
    <t>Contact Made (Sales Pipeline)</t>
  </si>
  <si>
    <t>Juician</t>
  </si>
  <si>
    <t>juicy_basem@yahoo.com</t>
  </si>
  <si>
    <t>Shahrzad Rahanjam (shahrzad@hsproperties.ae)</t>
  </si>
  <si>
    <t>Scheduling Meeting (Sales Pipeline)</t>
  </si>
  <si>
    <t>Damac Towers Paramount</t>
  </si>
  <si>
    <t>عبدالغني عبدالمجيد</t>
  </si>
  <si>
    <t>jack.888@hotmail.com</t>
  </si>
  <si>
    <t>Khalid Idrissi (idrissi@hsproperties.ae)</t>
  </si>
  <si>
    <t>Hosam Shamma</t>
  </si>
  <si>
    <t>hosam.surgeon@gmail.com</t>
  </si>
  <si>
    <t>Mohammad Zohaib (zohaib@hsproperties.ae)</t>
  </si>
  <si>
    <t>Obaid alketbi</t>
  </si>
  <si>
    <t>obaidalketbi12@gmail.com</t>
  </si>
  <si>
    <t>محمد الدوري</t>
  </si>
  <si>
    <t>mohdpvt@gmail.com</t>
  </si>
  <si>
    <t>Ruba</t>
  </si>
  <si>
    <t>Jamalzal18820@gmail.com</t>
  </si>
  <si>
    <t>Vikas Mangwani (vikas@hsproperties.ae)</t>
  </si>
  <si>
    <t>Michael</t>
  </si>
  <si>
    <t>mikleye2050@gmail.com</t>
  </si>
  <si>
    <t>Eisa AL mesmari</t>
  </si>
  <si>
    <t>reeman112233@gmail.com</t>
  </si>
  <si>
    <t>Rahma Rouine (rahma@hsproperties.ae)</t>
  </si>
  <si>
    <t>No Answer (Sales Pipeline)</t>
  </si>
  <si>
    <t>احمد النيادي</t>
  </si>
  <si>
    <t>AhmedAAlneyadi@hotmail.com</t>
  </si>
  <si>
    <t>Muhammad tahir</t>
  </si>
  <si>
    <t>m.tahirsaeed@yahoo.com</t>
  </si>
  <si>
    <t>Naveed Baig (naveed@hsproperties.ae)</t>
  </si>
  <si>
    <t>Damac Villas</t>
  </si>
  <si>
    <t>JayaPriya</t>
  </si>
  <si>
    <t>priya06.kr@gmail.com</t>
  </si>
  <si>
    <t>Sam</t>
  </si>
  <si>
    <t>purpleblue61@yahoo.com</t>
  </si>
  <si>
    <t>Nadia Burtea (nadia@hsproperties.ae)</t>
  </si>
  <si>
    <t>فايز العامري</t>
  </si>
  <si>
    <t>x_z_66@hotmail.com</t>
  </si>
  <si>
    <t>Bashar</t>
  </si>
  <si>
    <t>basharazzam@gmail.com</t>
  </si>
  <si>
    <t>Faissal (faissal@hsproperties.ae)</t>
  </si>
  <si>
    <t>Mohamed</t>
  </si>
  <si>
    <t>mohdtrwa@gmail.com</t>
  </si>
  <si>
    <t>suvidha sharma (suvidha@hsproperties.ae)</t>
  </si>
  <si>
    <t>سالم</t>
  </si>
  <si>
    <t>salem3337762@fmail.com</t>
  </si>
  <si>
    <t>Najeeb</t>
  </si>
  <si>
    <t>najeeb.feat@gmail.com</t>
  </si>
  <si>
    <t>Mahmoud</t>
  </si>
  <si>
    <t>en.mahmoudsafety@gmail.com</t>
  </si>
  <si>
    <t>Aamna Saeed</t>
  </si>
  <si>
    <t>eng.aamna1@gmail.com</t>
  </si>
  <si>
    <t>Maryam</t>
  </si>
  <si>
    <t>maryamf2014@gmail.com</t>
  </si>
  <si>
    <t>Farooq</t>
  </si>
  <si>
    <t>mfs_an@hotmail.com</t>
  </si>
  <si>
    <t>Secondary Market Lead (Sales Pipeline)</t>
  </si>
  <si>
    <t>Abdul Wahab</t>
  </si>
  <si>
    <t>abu.nayif129@gmail.com</t>
  </si>
  <si>
    <t>عبدالله البكر</t>
  </si>
  <si>
    <t>mis-abdullah-albaker@hotmail.com</t>
  </si>
  <si>
    <t>Simon peter Ntale</t>
  </si>
  <si>
    <t>simonntale@gmail.com</t>
  </si>
  <si>
    <t>Arshe Noor (arshe@hsproperties.ae)</t>
  </si>
  <si>
    <t>Reviewing Options (Sales Pipeline)</t>
  </si>
  <si>
    <t>Salam Hallal</t>
  </si>
  <si>
    <t>hallalsalam@hotmail.com</t>
  </si>
  <si>
    <t>Ahmed</t>
  </si>
  <si>
    <t>a_aljabouri@yahoo.com</t>
  </si>
  <si>
    <t>Rima</t>
  </si>
  <si>
    <t>reema.hamade@gmail.com</t>
  </si>
  <si>
    <t>Muhammad saleh</t>
  </si>
  <si>
    <t>saleh.ebrar@live.com</t>
  </si>
  <si>
    <t>Harsh</t>
  </si>
  <si>
    <t>harsh.thanki19@live.com</t>
  </si>
  <si>
    <t>حسن</t>
  </si>
  <si>
    <t>alshehhi.878@gmail.com</t>
  </si>
  <si>
    <t>Dan Cook</t>
  </si>
  <si>
    <t>thedeto84@gmail.com</t>
  </si>
  <si>
    <t>Saira Aziz (saira@hsproperties.ae)</t>
  </si>
  <si>
    <t>عدنان الجابري</t>
  </si>
  <si>
    <t>adnan7866uae@gmail.com</t>
  </si>
  <si>
    <t>Mohamad</t>
  </si>
  <si>
    <t>mrayyan@rivieraeng.ae</t>
  </si>
  <si>
    <t>Saud abdulrahman</t>
  </si>
  <si>
    <t>saud88almuaini@gmail.com</t>
  </si>
  <si>
    <t>Yasser</t>
  </si>
  <si>
    <t>yasser_elnhhas@yahoo.com</t>
  </si>
  <si>
    <t>Kamran</t>
  </si>
  <si>
    <t>kamranmalik84@hotmail.com</t>
  </si>
  <si>
    <t>Chadi</t>
  </si>
  <si>
    <t>c.saman@live.com</t>
  </si>
  <si>
    <t>Mayur Dhanwani (mayur@hsproperties.ae)</t>
  </si>
  <si>
    <t>Nahyan</t>
  </si>
  <si>
    <t>nahyan@wiecco.com</t>
  </si>
  <si>
    <t>masd@gmail.com</t>
  </si>
  <si>
    <t>Fatima</t>
  </si>
  <si>
    <t>fatima-ghafli@hotmail.com</t>
  </si>
  <si>
    <t>Toby</t>
  </si>
  <si>
    <t>toby.n.roberts@gmx.com</t>
  </si>
  <si>
    <t>Damac Villa 2.7M China</t>
  </si>
  <si>
    <t>Cindy Fung</t>
  </si>
  <si>
    <t>cyfung33@hotmail.com</t>
  </si>
  <si>
    <t>Gary Liang (gary@hsproperties.ae)</t>
  </si>
  <si>
    <t>Samuel Yip</t>
  </si>
  <si>
    <t>samuelyip93@gmail.com</t>
  </si>
  <si>
    <t>Kevy Lu (kevylu@hsproperties.ae)</t>
  </si>
  <si>
    <t>吴国乐</t>
  </si>
  <si>
    <t>jimmmmywu2004@gmail.com</t>
  </si>
  <si>
    <t>Damac Villa 2.7M Saudi</t>
  </si>
  <si>
    <t>عائد يونس</t>
  </si>
  <si>
    <t>ayed_t@live.com</t>
  </si>
  <si>
    <t>خداديات المتميزة. ج 0572727659</t>
  </si>
  <si>
    <t>hudagg123123@gmail.com</t>
  </si>
  <si>
    <t>Nabeel (nabeel@hsproperties.ae)</t>
  </si>
  <si>
    <t>Ola</t>
  </si>
  <si>
    <t>Awolumateidris@gmail.com</t>
  </si>
  <si>
    <t>Tatiana Heikkila (tatiana@hsproperties.ae)</t>
  </si>
  <si>
    <t>Shaikha</t>
  </si>
  <si>
    <t>alsawad2@hotmail.com</t>
  </si>
  <si>
    <t>2000pilot@gmail.com</t>
  </si>
  <si>
    <t>Tommy Nwankwo (tommy@hsproperties.ae)</t>
  </si>
  <si>
    <t>noura almezaini</t>
  </si>
  <si>
    <t>nalmezaini@gmail.com</t>
  </si>
  <si>
    <t>Fahad</t>
  </si>
  <si>
    <t>majk191918@gmail.com</t>
  </si>
  <si>
    <t>Nadeem sheikh</t>
  </si>
  <si>
    <t>nadeemsheikh111@yahoo.com</t>
  </si>
  <si>
    <t>مشهور الدخيل</t>
  </si>
  <si>
    <t>mashwhor@icloud.com</t>
  </si>
  <si>
    <t>Farid</t>
  </si>
  <si>
    <t>fedoo_@hotmail.com</t>
  </si>
  <si>
    <t>Akaash Ajwani (akaash@hsproperties.ae)</t>
  </si>
  <si>
    <t>Damac Property Show</t>
  </si>
  <si>
    <t>Ayesha Syed</t>
  </si>
  <si>
    <t>ayeshamee@yahoo.co.uk</t>
  </si>
  <si>
    <t>Mohammad Naji Alzubi</t>
  </si>
  <si>
    <t>mnaji64@hotmail.com</t>
  </si>
  <si>
    <t>توسل سليمان</t>
  </si>
  <si>
    <t>totasuliman88@gmail.com</t>
  </si>
  <si>
    <t>عبدالله</t>
  </si>
  <si>
    <t>abdulla190b@gmail.com</t>
  </si>
  <si>
    <t>نبيل البلوشي</t>
  </si>
  <si>
    <t>bolbol10637@hotmail.com</t>
  </si>
  <si>
    <t>Imran Merchant</t>
  </si>
  <si>
    <t>imranmetchant01@hotmail.com</t>
  </si>
  <si>
    <t>Moo Sung Kim</t>
  </si>
  <si>
    <t>musung1210@hotmail.com</t>
  </si>
  <si>
    <t>Abdulrahman alali</t>
  </si>
  <si>
    <t>bo_saif007@hotmail.com</t>
  </si>
  <si>
    <t>Mohammed hassan</t>
  </si>
  <si>
    <t>mhfulad@gmail.com</t>
  </si>
  <si>
    <t>خليفه</t>
  </si>
  <si>
    <t>alkataff2000@yahoo.com</t>
  </si>
  <si>
    <t>محمد سعيد عبيد سرور الظنحاني</t>
  </si>
  <si>
    <t>m.s.6497790@gmail.com</t>
  </si>
  <si>
    <t>Damac Promotion</t>
  </si>
  <si>
    <t>Amer</t>
  </si>
  <si>
    <t>amermotors66@gmail.com</t>
  </si>
  <si>
    <t>Aman Kaur (aman@hsproperties.ae)</t>
  </si>
  <si>
    <t>Peter Adel</t>
  </si>
  <si>
    <t>peterrayan@hotmail.com</t>
  </si>
  <si>
    <t>Ammar Emad</t>
  </si>
  <si>
    <t>ammar.nezam1981@hotmail.com</t>
  </si>
  <si>
    <t>Arif Vasaiwala (arif@hsproperties.ae)</t>
  </si>
  <si>
    <t>رباب سليمان الخليفه</t>
  </si>
  <si>
    <t>rabab.4ever@hotmail.com</t>
  </si>
  <si>
    <t>Yasmine Fahmy (yasmine@hsproperties.ae)</t>
  </si>
  <si>
    <t>Robelyn Tupas</t>
  </si>
  <si>
    <t>robelyntupas87@gmail.com</t>
  </si>
  <si>
    <t>Shane Rawolle (shane@hsproperties.ae)</t>
  </si>
  <si>
    <t>Sheikh Aijaz Ahmad</t>
  </si>
  <si>
    <t>shaijaz@gmail.com</t>
  </si>
  <si>
    <t>Nigina Abbasova (nigina@hsproperties.ae)</t>
  </si>
  <si>
    <t>Martin Muganyizi</t>
  </si>
  <si>
    <t>mmuganyizi@gmail.com</t>
  </si>
  <si>
    <t>Laura Jabbour Ghrayeb</t>
  </si>
  <si>
    <t>laurajabbour@gmail.com</t>
  </si>
  <si>
    <t>عامر</t>
  </si>
  <si>
    <t>aammr1313@gmail.com</t>
  </si>
  <si>
    <t>Robert Scott Jnr</t>
  </si>
  <si>
    <t>robscotty@hotmail.com</t>
  </si>
  <si>
    <t>Saba Rahanjam (saba@hsproperties.ae)</t>
  </si>
  <si>
    <t>بيان</t>
  </si>
  <si>
    <t>mohamedawss7@gmail.com</t>
  </si>
  <si>
    <t>Abdelrahim Elbakheit</t>
  </si>
  <si>
    <t>Abdelrahim@alrikaz.com.sa</t>
  </si>
  <si>
    <t>Ben Rozario</t>
  </si>
  <si>
    <t>ben.rozario@gmail.com</t>
  </si>
  <si>
    <t>Qualified Interest (Sales Pipeline)</t>
  </si>
  <si>
    <t>Samar</t>
  </si>
  <si>
    <t>bamsam2016@gmail.com</t>
  </si>
  <si>
    <t>ماجد علي</t>
  </si>
  <si>
    <t>majed-a@live.com</t>
  </si>
  <si>
    <t>Dan Murphy</t>
  </si>
  <si>
    <t>danmerf@yahoo.com</t>
  </si>
  <si>
    <t>خليفه الكعبي</t>
  </si>
  <si>
    <t>yastv@eim.ae</t>
  </si>
  <si>
    <t>Asmaa AlWahedi</t>
  </si>
  <si>
    <t>asma_alwehedi@hotmail.com</t>
  </si>
  <si>
    <t>Ramzi Tadros</t>
  </si>
  <si>
    <t>ramziwat@yahoo.com</t>
  </si>
  <si>
    <t>أبو محمد</t>
  </si>
  <si>
    <t>zoom2007_050@hotmail.com</t>
  </si>
  <si>
    <t>adeeb</t>
  </si>
  <si>
    <t>adeebmalayil@gmail.com</t>
  </si>
  <si>
    <t>مشاري صالح</t>
  </si>
  <si>
    <t>911mashari@gmail.com</t>
  </si>
  <si>
    <t>محمد أحمد الحيان</t>
  </si>
  <si>
    <t>malhayan@gmail.com</t>
  </si>
  <si>
    <t>موضي</t>
  </si>
  <si>
    <t>modyabdullah@hotmail.com</t>
  </si>
  <si>
    <t>Ehab qassim</t>
  </si>
  <si>
    <t>ehabmsq@yahoo.com</t>
  </si>
  <si>
    <t>Eyad</t>
  </si>
  <si>
    <t>emesawa@gmail.com</t>
  </si>
  <si>
    <t>Khalil Abo Elnour</t>
  </si>
  <si>
    <t>khalileid214@gmail.com</t>
  </si>
  <si>
    <t>Syed Masood Ali</t>
  </si>
  <si>
    <t>ali.syedmasood@gmail.com</t>
  </si>
  <si>
    <t>Flo Rine</t>
  </si>
  <si>
    <t>noumy91@hotmail.com</t>
  </si>
  <si>
    <t>علي</t>
  </si>
  <si>
    <t>ahr.aldhaheri@hotmail.com</t>
  </si>
  <si>
    <t>مشعل</t>
  </si>
  <si>
    <t>mashal2222@icloud.com</t>
  </si>
  <si>
    <t>Hana</t>
  </si>
  <si>
    <t>dr_alsulami@live.com</t>
  </si>
  <si>
    <t>Rami alkurdi</t>
  </si>
  <si>
    <t>r0555511240@gmail.com</t>
  </si>
  <si>
    <t>Mourad</t>
  </si>
  <si>
    <t>mouradbarcos@hotmail.com</t>
  </si>
  <si>
    <t>Aylar Nurlyyeva (aylar@hsproperties.ae)</t>
  </si>
  <si>
    <t>وليد</t>
  </si>
  <si>
    <t>alqayidi@gmail.com</t>
  </si>
  <si>
    <t>ابراهيم الخليفي</t>
  </si>
  <si>
    <t>aljemri@hotmail.com</t>
  </si>
  <si>
    <t>حامد دراغمة</t>
  </si>
  <si>
    <t>Psolution1987@gmail.com</t>
  </si>
  <si>
    <t>احمد</t>
  </si>
  <si>
    <t>ahmadabukuhail@gmail.com</t>
  </si>
  <si>
    <t>نرمين قطوس</t>
  </si>
  <si>
    <t>nkatous85@gmail.com</t>
  </si>
  <si>
    <t>Future Prospect (Sales Pipeline)</t>
  </si>
  <si>
    <t>N</t>
  </si>
  <si>
    <t>khb@gmail.com</t>
  </si>
  <si>
    <t>Ziad Abulfeilat</t>
  </si>
  <si>
    <t>ziad62@gmail.com</t>
  </si>
  <si>
    <t>aan.mak@hotmail.com</t>
  </si>
  <si>
    <t>وليد العصيمي</t>
  </si>
  <si>
    <t>aburn11@hotmail.com</t>
  </si>
  <si>
    <t>Ahmed ibrahem</t>
  </si>
  <si>
    <t>a.bebo02@gmail.com</t>
  </si>
  <si>
    <t>علي أبو عمر</t>
  </si>
  <si>
    <t>jhkuio@hotmail.com</t>
  </si>
  <si>
    <t>محمد عبدالله السعود</t>
  </si>
  <si>
    <t>mohammed.alsaud128@gmail.com</t>
  </si>
  <si>
    <t>عبدالرحيم</t>
  </si>
  <si>
    <t>a.al5ayal123@gmail.com</t>
  </si>
  <si>
    <t>Matt Hesketh</t>
  </si>
  <si>
    <t>mattheketh1976@googlemail.com</t>
  </si>
  <si>
    <t>Tarek Zebian</t>
  </si>
  <si>
    <t>tarekzeb@hotmail.com</t>
  </si>
  <si>
    <t>tayab</t>
  </si>
  <si>
    <t>mehfoozbajwa@gmail.com</t>
  </si>
  <si>
    <t>Hesham atieh</t>
  </si>
  <si>
    <t>heshamatieh@yahoo.com</t>
  </si>
  <si>
    <t>Ali habib</t>
  </si>
  <si>
    <t>aakbr@kau.edu.sa</t>
  </si>
  <si>
    <t>سيد بو محمد</t>
  </si>
  <si>
    <t>jghh@hotmail.com</t>
  </si>
  <si>
    <t>محمد فياض محمد عبدالله</t>
  </si>
  <si>
    <t>mohmdfiaz99@gmail.com</t>
  </si>
  <si>
    <t>إبراهيم</t>
  </si>
  <si>
    <t>ibr05055m@gmailc.com</t>
  </si>
  <si>
    <t>Ziad Al Sarraj</t>
  </si>
  <si>
    <t>ziad9gamal@gmail.com</t>
  </si>
  <si>
    <t>صالح</t>
  </si>
  <si>
    <t>saleh1243@gmail.com</t>
  </si>
  <si>
    <t>دانيه عبيدات</t>
  </si>
  <si>
    <t>daniahobaidat@gmail.com</t>
  </si>
  <si>
    <t>Omar</t>
  </si>
  <si>
    <t>ker_omar@hotmai.fr</t>
  </si>
  <si>
    <t>Victoria Kochergina (vicky.k@hsproperties.ae)</t>
  </si>
  <si>
    <t>Ahmad Abu Najm</t>
  </si>
  <si>
    <t>ahmadabunijem.aan@gmail.com</t>
  </si>
  <si>
    <t>عقيل عبدالله</t>
  </si>
  <si>
    <t>aqeel-2020@hotmail.com</t>
  </si>
  <si>
    <t>بشير صلاح الدين جمعة</t>
  </si>
  <si>
    <t>dr.bashir.j@gmail.com</t>
  </si>
  <si>
    <t>Ibrahim aljubair</t>
  </si>
  <si>
    <t>ialj2010@gmail.com</t>
  </si>
  <si>
    <t>Damac Towers Paramount - H&amp;S</t>
  </si>
  <si>
    <t>Rupali Chopra</t>
  </si>
  <si>
    <t>91997130-0782</t>
  </si>
  <si>
    <t>rupali.chopra1018@gmail.com</t>
  </si>
  <si>
    <t>vvvv</t>
  </si>
  <si>
    <t>9716633-8855</t>
  </si>
  <si>
    <t>gnhk@gmail.com</t>
  </si>
  <si>
    <t>Raees Thaimur</t>
  </si>
  <si>
    <t>97150378-7021</t>
  </si>
  <si>
    <t>sharminas007@gmail.com</t>
  </si>
  <si>
    <t>عماد</t>
  </si>
  <si>
    <t>emad_masadeh@hotmail.com</t>
  </si>
  <si>
    <t>عفيف ابو زيظ</t>
  </si>
  <si>
    <t>96650839-4475</t>
  </si>
  <si>
    <t>afif.murad@hotmail.com</t>
  </si>
  <si>
    <t>Aneez Majeed</t>
  </si>
  <si>
    <t>971894353-1194</t>
  </si>
  <si>
    <t>aneesmajeed33@gmail.com</t>
  </si>
  <si>
    <t>ربيع احمد</t>
  </si>
  <si>
    <t>971050859-8502</t>
  </si>
  <si>
    <t>rabaef@gmail.com</t>
  </si>
  <si>
    <t>Tarik Al Hraki</t>
  </si>
  <si>
    <t>eng_tareq@yahoo.com</t>
  </si>
  <si>
    <t>966055467-0689</t>
  </si>
  <si>
    <t>adsalmousa@hotmail.com</t>
  </si>
  <si>
    <t>مريم السويدي</t>
  </si>
  <si>
    <t>971050766-7883</t>
  </si>
  <si>
    <t>maary191@hotmail.com</t>
  </si>
  <si>
    <t>Low Budget (Sales Pipeline)</t>
  </si>
  <si>
    <t>Khalid Ahmed</t>
  </si>
  <si>
    <t>97155706-6330</t>
  </si>
  <si>
    <t>khalid-amin@live.com</t>
  </si>
  <si>
    <t>Khaled</t>
  </si>
  <si>
    <t>khaledyassin99@gmail.com</t>
  </si>
  <si>
    <t>Karuna G. Harjani</t>
  </si>
  <si>
    <t>karuna63gh@hotmail.com</t>
  </si>
  <si>
    <t>Abdulla</t>
  </si>
  <si>
    <t>87alhameli@gmail.com</t>
  </si>
  <si>
    <t>محمد صلاح عصر</t>
  </si>
  <si>
    <t>asar.mohamad@yahoo.com</t>
  </si>
  <si>
    <t>Damac Villas -</t>
  </si>
  <si>
    <t>احمد حضرى</t>
  </si>
  <si>
    <t>gamal1981@gmail.com</t>
  </si>
  <si>
    <t>ناهد سعيد</t>
  </si>
  <si>
    <t>Naheedalameri8@gmail.com</t>
  </si>
  <si>
    <t>عامر ظافر</t>
  </si>
  <si>
    <t>Nojood2020safi@hotmail.com</t>
  </si>
  <si>
    <t>Hamad alqubaisi</t>
  </si>
  <si>
    <t>h_9993@hotmail.com</t>
  </si>
  <si>
    <t>Basem</t>
  </si>
  <si>
    <t>bassem5787@hotmail.com</t>
  </si>
  <si>
    <t>محمد حلمي</t>
  </si>
  <si>
    <t>Mohamedhelmyomran@gmail.com</t>
  </si>
  <si>
    <t>Khalid</t>
  </si>
  <si>
    <t>nightsss2004@yahoo.com</t>
  </si>
  <si>
    <t>Elena Ruxandraq (elena@hsproperties.ae)</t>
  </si>
  <si>
    <t>Al Ali</t>
  </si>
  <si>
    <t>hhalali@eim.ae</t>
  </si>
  <si>
    <t>Stephane Lucas</t>
  </si>
  <si>
    <t>stephane_lucas44@outlook.fr</t>
  </si>
  <si>
    <t>Hassan Turki</t>
  </si>
  <si>
    <t>hturki79@yahoo.com</t>
  </si>
  <si>
    <t>Abdul Haris</t>
  </si>
  <si>
    <t>harjasi12@gmail.com</t>
  </si>
  <si>
    <t>Trương Bằng Lăng Tím</t>
  </si>
  <si>
    <t>lilythuvn.com@gmail.com</t>
  </si>
  <si>
    <t>Peace Muregi - Pundu</t>
  </si>
  <si>
    <t>pmuregi79@gmail.com</t>
  </si>
  <si>
    <t>Luay Sultan</t>
  </si>
  <si>
    <t>luaysaeed89@hotmail.com</t>
  </si>
  <si>
    <t>Mansour Fani</t>
  </si>
  <si>
    <t>mansourfani1988@gmail.com</t>
  </si>
  <si>
    <t>Damac 2.7M Saudi</t>
  </si>
  <si>
    <t>Hani Fayez</t>
  </si>
  <si>
    <t>hanioraiqat2016@gmail.com</t>
  </si>
  <si>
    <t>abdulaa123@hotmail.com</t>
  </si>
  <si>
    <t>Imported Leads (Sales Pipeline)</t>
  </si>
  <si>
    <t>سعود</t>
  </si>
  <si>
    <t>saoud160_@hotmail.com</t>
  </si>
  <si>
    <t>عباس حسين محمد</t>
  </si>
  <si>
    <t>besooooo223@gmaiI.com</t>
  </si>
  <si>
    <t>محمد عبد السلام</t>
  </si>
  <si>
    <t>966059225-7801</t>
  </si>
  <si>
    <t>Mohammedabdelsalam83@yahoo.com</t>
  </si>
  <si>
    <t>Richmond Aqua Beach Park - Damac</t>
  </si>
  <si>
    <t>Fahd Faysal</t>
  </si>
  <si>
    <t>ffsaid@gmail.com</t>
  </si>
  <si>
    <t>أبراهيم الحاج سليمان</t>
  </si>
  <si>
    <t>bisso.1986d@giml.com</t>
  </si>
  <si>
    <t>Rabia Saleem</t>
  </si>
  <si>
    <t>rabia.s.shaikh@gmail.com</t>
  </si>
  <si>
    <t>Nathan Kabeya (nathan@hsproperties.ae)</t>
  </si>
  <si>
    <t>Facebook Lead Ads: damac-2.7m-hs-SAU</t>
  </si>
  <si>
    <t>ابو احمد</t>
  </si>
  <si>
    <t>maher_alsager@hotmail.com</t>
  </si>
  <si>
    <t>أحمد البهكلي</t>
  </si>
  <si>
    <t>abahkali1@gmail.com</t>
  </si>
  <si>
    <t>Hassan AL-Herz</t>
  </si>
  <si>
    <t>hassansalman32@gmail.com</t>
  </si>
  <si>
    <t>MERANO DAMAC</t>
  </si>
  <si>
    <t>Abdulai Sesay</t>
  </si>
  <si>
    <t>--</t>
  </si>
  <si>
    <t>Damac Villa 2.7</t>
  </si>
  <si>
    <t>Ki Hung Rainleung Rainleung - New Deal</t>
  </si>
  <si>
    <t>funnyleung6000@gmail.com</t>
  </si>
  <si>
    <t>Han Wu (han@hsproperties.ae)</t>
  </si>
  <si>
    <t>HIGH-GARDEN - DAMAC</t>
  </si>
  <si>
    <t>Najeeb Mughrabi</t>
  </si>
  <si>
    <t>Maaz Tariq (maaz@hsproperties.ae)</t>
  </si>
  <si>
    <t>Client for Paramount by Damac</t>
  </si>
  <si>
    <t>Maher Agw</t>
  </si>
  <si>
    <t>PARAMOUNT BY DAMAC</t>
  </si>
  <si>
    <t>Krishna Rai</t>
  </si>
  <si>
    <t>krishraik@yahoo.com</t>
  </si>
  <si>
    <t>Deactivated User (sheirose@hsproperties.ae)</t>
  </si>
  <si>
    <t>Lefteris Kyriacou</t>
  </si>
  <si>
    <t>lefteris.kyriacou@gmail.com</t>
  </si>
  <si>
    <t>Damac Ala carte</t>
  </si>
  <si>
    <t>Meryame Lebiad 2 - New Deal</t>
  </si>
  <si>
    <t>meryamelebiad@gmail.com</t>
  </si>
  <si>
    <t>Ala carte Damac</t>
  </si>
  <si>
    <t>Nitin Kumar</t>
  </si>
  <si>
    <t>nkoffice@gmail.com</t>
  </si>
  <si>
    <t>Tina Elahi (tina@hsproperties.ae)</t>
  </si>
  <si>
    <t>AKOYA VILLA DAMAC</t>
  </si>
  <si>
    <t>moh lowimi</t>
  </si>
  <si>
    <t>asdv343@gmail.com</t>
  </si>
  <si>
    <t>Rajaa Atlab</t>
  </si>
  <si>
    <t>rajaa.atlab@yahoo.com</t>
  </si>
  <si>
    <t>PRIVE BUSINESS BAY DAMAC</t>
  </si>
  <si>
    <t>Asif Mir</t>
  </si>
  <si>
    <t>asifracing@hotmail.com</t>
  </si>
  <si>
    <t>PARAMOUNT by DAMAC</t>
  </si>
  <si>
    <t>Adam Elliott</t>
  </si>
  <si>
    <t>adamelliott45@gmail.com</t>
  </si>
  <si>
    <t>Dipti</t>
  </si>
  <si>
    <t>Kitbiel@gmail.com</t>
  </si>
  <si>
    <t>PARAMOUNT by Damac</t>
  </si>
  <si>
    <t>Shabbir Ahmed Bokshi</t>
  </si>
  <si>
    <t>bokshiking@yahoo.com</t>
  </si>
  <si>
    <t>Mohamed ahmed</t>
  </si>
  <si>
    <t>sales.manager@rakmix.com</t>
  </si>
  <si>
    <t>Adil Harianawalla</t>
  </si>
  <si>
    <t>aaharian@gmail.com</t>
  </si>
  <si>
    <t>Golf Vita by Damac</t>
  </si>
  <si>
    <t>Mansoor Charan</t>
  </si>
  <si>
    <t>Waqas Anwar Khan (waqas@hsproperties.ae)</t>
  </si>
  <si>
    <t>DAMAC OFFER</t>
  </si>
  <si>
    <t>Ola Abd El Meguid</t>
  </si>
  <si>
    <t>olah68@yahoo.com</t>
  </si>
  <si>
    <t>Elsyra Dsa</t>
  </si>
  <si>
    <t>elsyra@gmail.com</t>
  </si>
  <si>
    <t>Riaz Shariq</t>
  </si>
  <si>
    <t>shariqriaz@yahoo.com</t>
  </si>
  <si>
    <t>Awais Shahid</t>
  </si>
  <si>
    <t>awais_99@hotmail.com</t>
  </si>
  <si>
    <t>Facebook Lead Ads: Damac Ala carte</t>
  </si>
  <si>
    <t>Sohayla Alamood</t>
  </si>
  <si>
    <t>hakalamood@gmail.com</t>
  </si>
  <si>
    <t>Today at 2:09 PM</t>
  </si>
  <si>
    <t>‭+971585677322‬</t>
  </si>
  <si>
    <t>n21122@hotmail.com</t>
  </si>
  <si>
    <t>Emad Haq (emad@hsproperties.ae)</t>
  </si>
  <si>
    <t>Today at 12:56 PM</t>
  </si>
  <si>
    <t>Damac V2 Villas - H&amp;S</t>
  </si>
  <si>
    <t>Babar Tariq</t>
  </si>
  <si>
    <t>tariq302@hotmail.com</t>
  </si>
  <si>
    <t>Today at 12:56 AM</t>
  </si>
  <si>
    <t>Amarjit</t>
  </si>
  <si>
    <t>advicer009@gmail.com</t>
  </si>
  <si>
    <t>Doaa</t>
  </si>
  <si>
    <t>d3d3_90@hotmail.com</t>
  </si>
  <si>
    <t>Yesterday at 3:13 PM</t>
  </si>
  <si>
    <t>Henry</t>
  </si>
  <si>
    <t>oho865@hotmail.com</t>
  </si>
  <si>
    <t>Yesterday at 1:33 PM</t>
  </si>
  <si>
    <t>Manish Sharma</t>
  </si>
  <si>
    <t>manish3281@gmail.com</t>
  </si>
  <si>
    <t>Yesterday at 1:11 PM</t>
  </si>
  <si>
    <t>Zunaira</t>
  </si>
  <si>
    <t>zuny.tauseef@gmail.com</t>
  </si>
  <si>
    <t>Yesterday at 8:18 AM</t>
  </si>
  <si>
    <t>Noha</t>
  </si>
  <si>
    <t>n.a.magdy@hotmail.com</t>
  </si>
  <si>
    <t>Yesterday at 1:52 AM</t>
  </si>
  <si>
    <t>Mona</t>
  </si>
  <si>
    <t>mona.alwaheebi@gmail.com</t>
  </si>
  <si>
    <t>Faiza</t>
  </si>
  <si>
    <t>fmou13@gmail.com</t>
  </si>
  <si>
    <t>elhadi hima</t>
  </si>
  <si>
    <t>himmat100@hotmail.com</t>
  </si>
  <si>
    <t>Charlene Sciberras</t>
  </si>
  <si>
    <t>charlene@sciberras.com</t>
  </si>
  <si>
    <t>Aziz</t>
  </si>
  <si>
    <t>aziz_r3@hotmail.com</t>
  </si>
  <si>
    <t>Javed Abbas</t>
  </si>
  <si>
    <t>javed_abbas76@yahoo.com</t>
  </si>
  <si>
    <t>Alameri</t>
  </si>
  <si>
    <t>dralameri@hotmail.com</t>
  </si>
  <si>
    <t>Abdullah Jan</t>
  </si>
  <si>
    <t>abdullah@insaftrd.com</t>
  </si>
  <si>
    <t>Altamash</t>
  </si>
  <si>
    <t>aalahazrat@gmail.com</t>
  </si>
  <si>
    <t>Dan</t>
  </si>
  <si>
    <t>ghanem.alali@gmail.com</t>
  </si>
  <si>
    <t>ziad</t>
  </si>
  <si>
    <t>ziadjeha2@gmail.com</t>
  </si>
  <si>
    <t>PAVAN GUPTA</t>
  </si>
  <si>
    <t>guptapavan65@gmail.com</t>
  </si>
  <si>
    <t>Mirza ali</t>
  </si>
  <si>
    <t>ali_salmamkhan@msn.com</t>
  </si>
  <si>
    <t>Maghawry Bakry</t>
  </si>
  <si>
    <t>maghawry@gmail.com</t>
  </si>
  <si>
    <t>a7070a@hotmail.com</t>
  </si>
  <si>
    <t>Milad</t>
  </si>
  <si>
    <t>milad.thorn@gmail.com</t>
  </si>
  <si>
    <t>Fahad Malik (fahad.malik@hsproperties.ae)</t>
  </si>
  <si>
    <t>Prasenjit Paul</t>
  </si>
  <si>
    <t>paulprasens@gmail.com</t>
  </si>
  <si>
    <t>Nasser Thabet</t>
  </si>
  <si>
    <t>nasser.thabet@outlook.com</t>
  </si>
  <si>
    <t>Neeraj</t>
  </si>
  <si>
    <t>neerajsachdeva33@yahoo.com</t>
  </si>
  <si>
    <t>MAher ELAawar</t>
  </si>
  <si>
    <t>maherelawar@hotmail.com</t>
  </si>
  <si>
    <t>Qatada Rababa</t>
  </si>
  <si>
    <t>gatadah_jo@yahoo.com</t>
  </si>
  <si>
    <t>Misra Elzubair ELTOUM Elzubair</t>
  </si>
  <si>
    <t>mze.safa@gmail.com</t>
  </si>
  <si>
    <t>Vincent</t>
  </si>
  <si>
    <t>genevira@yahoo.co.in</t>
  </si>
  <si>
    <t>alsharafiahmed@yahoo.com</t>
  </si>
  <si>
    <t>rashed</t>
  </si>
  <si>
    <t>rashed898@hotmail.com</t>
  </si>
  <si>
    <t>Janet Gabriel</t>
  </si>
  <si>
    <t>janet.o.gabriel@gmail.com</t>
  </si>
  <si>
    <t>Muhammad Iqbal</t>
  </si>
  <si>
    <t>info@igsargroup.com</t>
  </si>
  <si>
    <t>Fida Chander</t>
  </si>
  <si>
    <t>fida.shinder@gmail.com</t>
  </si>
  <si>
    <t>Mariam</t>
  </si>
  <si>
    <t>mari7171am@gmail.com</t>
  </si>
  <si>
    <t>Omar Qushair</t>
  </si>
  <si>
    <t>omar.qushair@gmail.com</t>
  </si>
  <si>
    <t>Souzan</t>
  </si>
  <si>
    <t>alzouabi.souzan@gmail.com</t>
  </si>
  <si>
    <t>Mohd</t>
  </si>
  <si>
    <t>engmohd75@hotmail.com</t>
  </si>
  <si>
    <t>Manar</t>
  </si>
  <si>
    <t>arch.manar@gmail.com</t>
  </si>
  <si>
    <t>Sunil John Korah</t>
  </si>
  <si>
    <t>johnkoras@hotmail.com</t>
  </si>
  <si>
    <t>Mohamed Rashid</t>
  </si>
  <si>
    <t>ceo@group4holdings.com</t>
  </si>
  <si>
    <t>Hesham</t>
  </si>
  <si>
    <t>skipyy90@hotmail.com</t>
  </si>
  <si>
    <t>Kamlesh Bhatia</t>
  </si>
  <si>
    <t>kamleshvb@gmail.com</t>
  </si>
  <si>
    <t>malmass@gmail.com</t>
  </si>
  <si>
    <t>Asif</t>
  </si>
  <si>
    <t>safindus@gmail.com</t>
  </si>
  <si>
    <t>Muhammad Anees</t>
  </si>
  <si>
    <t>m_anees@live.com</t>
  </si>
  <si>
    <t>PRAVEEN</t>
  </si>
  <si>
    <t>anupravinternational@gmail.com</t>
  </si>
  <si>
    <t>Abdul’s Manhalam</t>
  </si>
  <si>
    <t>mstabdulla@yahoo.com</t>
  </si>
  <si>
    <t>Bharti Pandey</t>
  </si>
  <si>
    <t>pandeybharti@yahoo.com</t>
  </si>
  <si>
    <t>Sreeraj</t>
  </si>
  <si>
    <t>srrajan1991@gmail.com</t>
  </si>
  <si>
    <t>suresh</t>
  </si>
  <si>
    <t>prsure@gmail.com</t>
  </si>
  <si>
    <t>redseacommander@yahoo.com</t>
  </si>
  <si>
    <t>Ajay Jaywant</t>
  </si>
  <si>
    <t>ajayd.jaywant@gmail.com</t>
  </si>
  <si>
    <t>Chandan</t>
  </si>
  <si>
    <t>chandan.jaiswal88@gmail.com</t>
  </si>
  <si>
    <t>Ratnadeep</t>
  </si>
  <si>
    <t>das.ratnadeep@gmail.com</t>
  </si>
  <si>
    <t>Rohitt wassan</t>
  </si>
  <si>
    <t>rohitt.wassan@gmail.com</t>
  </si>
  <si>
    <t>Sayed Kamel</t>
  </si>
  <si>
    <t>kamel951@gmail.com</t>
  </si>
  <si>
    <t>Manal Attia</t>
  </si>
  <si>
    <t>manal@alimar-tt.com</t>
  </si>
  <si>
    <t>Adel eldahshoury</t>
  </si>
  <si>
    <t>adel.eldahshoury@gmail.com</t>
  </si>
  <si>
    <t>Ahmed Radi</t>
  </si>
  <si>
    <t>ahmed.omar.radi@gmail.com</t>
  </si>
  <si>
    <t>Sami</t>
  </si>
  <si>
    <t>sameemitkar@gmail.com</t>
  </si>
  <si>
    <t>EL muiz Salih</t>
  </si>
  <si>
    <t>ezoo6666@gmail.com</t>
  </si>
  <si>
    <t>Viji</t>
  </si>
  <si>
    <t>viji.tiku@gmail.com</t>
  </si>
  <si>
    <t>Ayman Oulabi</t>
  </si>
  <si>
    <t>aymanoulabi@hotmail.com</t>
  </si>
  <si>
    <t>Rajan</t>
  </si>
  <si>
    <t>rajan@rayatind.com</t>
  </si>
  <si>
    <t>Savio</t>
  </si>
  <si>
    <t>savioinis@gmail.com</t>
  </si>
  <si>
    <t>abdulla.binalshaikhali@hotmail.com</t>
  </si>
  <si>
    <t>Abdul Ghaffar Khan</t>
  </si>
  <si>
    <t>ghaffar.khan@fazleghani.com</t>
  </si>
  <si>
    <t>Sanil</t>
  </si>
  <si>
    <t>svarughese76@yahoo.com</t>
  </si>
  <si>
    <t>Amr</t>
  </si>
  <si>
    <t>amrelemam@hotmail.com</t>
  </si>
  <si>
    <t>Sge.ahmed@gmail.com</t>
  </si>
  <si>
    <t>viren</t>
  </si>
  <si>
    <t>mvirenshah@gmail.com</t>
  </si>
  <si>
    <t>Akbar</t>
  </si>
  <si>
    <t>akbarmomand1@gmail.com</t>
  </si>
  <si>
    <t>محمد ابراهيم</t>
  </si>
  <si>
    <t>msdiljm@yahoo.com</t>
  </si>
  <si>
    <t>issam tabet</t>
  </si>
  <si>
    <t>issamtabet@gmail.com</t>
  </si>
  <si>
    <t>Maryam Pourgholam (maryam.p@hsproperties.ae)</t>
  </si>
  <si>
    <t>Nilesh</t>
  </si>
  <si>
    <t>nileshhrba@gmail.com</t>
  </si>
  <si>
    <t>Khalid Qamhyya</t>
  </si>
  <si>
    <t>kqamhyya@gmail.com</t>
  </si>
  <si>
    <t>SNA</t>
  </si>
  <si>
    <t>sarah.ali8@gmail.com</t>
  </si>
  <si>
    <t>Marwan Alemad</t>
  </si>
  <si>
    <t>marwan.alemad90@gmail.com</t>
  </si>
  <si>
    <t>Zahid</t>
  </si>
  <si>
    <t>czee@hotmail.co.uk</t>
  </si>
  <si>
    <t>Joshu</t>
  </si>
  <si>
    <t>godjoeplc@yahoo.com</t>
  </si>
  <si>
    <t>Muhammad Riaz Qureshi</t>
  </si>
  <si>
    <t>mafs10@hotmail.com</t>
  </si>
  <si>
    <t>منى</t>
  </si>
  <si>
    <t>monaalmulla30@gamil.com</t>
  </si>
  <si>
    <t>Swati</t>
  </si>
  <si>
    <t>swatidubai@yahoo.com</t>
  </si>
  <si>
    <t>Samira</t>
  </si>
  <si>
    <t>samira.d@sdpmgt.com</t>
  </si>
  <si>
    <t>Parag</t>
  </si>
  <si>
    <t>paragpopat1989@gmail.com</t>
  </si>
  <si>
    <t>Braja Bandhu Sahu</t>
  </si>
  <si>
    <t>bbsahuoil@gmail.com</t>
  </si>
  <si>
    <t>Bilal</t>
  </si>
  <si>
    <t>bilal-emad@hotmail.com</t>
  </si>
  <si>
    <t>Developer Visit Done (Sales Pipeline)</t>
  </si>
  <si>
    <t>Saeed</t>
  </si>
  <si>
    <t>saeed.s.alkindi@hotmail.com</t>
  </si>
  <si>
    <t>Veena</t>
  </si>
  <si>
    <t>vinamirikar@gmail.com</t>
  </si>
  <si>
    <t>Mohamad Renno</t>
  </si>
  <si>
    <t>rmzco@hotmail.com</t>
  </si>
  <si>
    <t>ceejay shah</t>
  </si>
  <si>
    <t>ceejay@misterdee.com</t>
  </si>
  <si>
    <t>Reema</t>
  </si>
  <si>
    <t>reema12199@gmail.com</t>
  </si>
  <si>
    <t>Suzie-Moi</t>
  </si>
  <si>
    <t>mandiaha@gmail.com</t>
  </si>
  <si>
    <t>trevor pybus</t>
  </si>
  <si>
    <t>trevorpybus@gmail.com</t>
  </si>
  <si>
    <t>سيف</t>
  </si>
  <si>
    <t>Saifalkaabi6669@hotmail.com</t>
  </si>
  <si>
    <t>Chetan Sonawala</t>
  </si>
  <si>
    <t>chetan.sonawala@gmail.com</t>
  </si>
  <si>
    <t>Adam</t>
  </si>
  <si>
    <t>adamrowley0@gmail.com</t>
  </si>
  <si>
    <t>muhammad kamran</t>
  </si>
  <si>
    <t>ziasdubai@gmail.com</t>
  </si>
  <si>
    <t>خالد مرشد</t>
  </si>
  <si>
    <t>kmurshed11@gmail.com</t>
  </si>
  <si>
    <t>Ishwar Sadh</t>
  </si>
  <si>
    <t>ishwar.sadh@jaipur.ae</t>
  </si>
  <si>
    <t>Mahi Ahmed</t>
  </si>
  <si>
    <t>mah262wish@yahoo.com</t>
  </si>
  <si>
    <t>Ghaith</t>
  </si>
  <si>
    <t>motaif@outlook.com</t>
  </si>
  <si>
    <t>Sridevi</t>
  </si>
  <si>
    <t>vssridevi29@gmail.com</t>
  </si>
  <si>
    <t>Yamen Tabakh</t>
  </si>
  <si>
    <t>yamen25@hotmail.com</t>
  </si>
  <si>
    <t>Salah Al Assadi</t>
  </si>
  <si>
    <t>sa3sa2sa1@yahoo.com</t>
  </si>
  <si>
    <t>Arif</t>
  </si>
  <si>
    <t>usezipcode@hotmail.com</t>
  </si>
  <si>
    <t>Hajira</t>
  </si>
  <si>
    <t>uzairghazi@yahoo.com</t>
  </si>
  <si>
    <t>Sublime Global</t>
  </si>
  <si>
    <t>sublimeglobal@gmail.com</t>
  </si>
  <si>
    <t>Joby Mathew</t>
  </si>
  <si>
    <t>jobysogy@gmail.com</t>
  </si>
  <si>
    <t>Mo ali</t>
  </si>
  <si>
    <t>mohammed.ali1@live.co.uk</t>
  </si>
  <si>
    <t>Nermin Ahmed</t>
  </si>
  <si>
    <t>neryfree@yahoo.com</t>
  </si>
  <si>
    <t>Reita Thami</t>
  </si>
  <si>
    <t>reitathami1@gmail.com</t>
  </si>
  <si>
    <t>Raijas</t>
  </si>
  <si>
    <t>raijasparakkal@gmail.com</t>
  </si>
  <si>
    <t>Shoaib</t>
  </si>
  <si>
    <t>Shoaibmerchant@gmail.com</t>
  </si>
  <si>
    <t>Jacob George</t>
  </si>
  <si>
    <t>jacgeo@gmail.com</t>
  </si>
  <si>
    <t>Dr Ash Vadher</t>
  </si>
  <si>
    <t>drashvadher@gmail.com</t>
  </si>
  <si>
    <t>Iyad Abdalrahim</t>
  </si>
  <si>
    <t>eyad.abdelrahim@gmail.com</t>
  </si>
  <si>
    <t>Karthic</t>
  </si>
  <si>
    <t>rrkarthic91@gmail.com</t>
  </si>
  <si>
    <t>Tarek Massoud</t>
  </si>
  <si>
    <t>t1hassan@hotmail.com</t>
  </si>
  <si>
    <t>M Tariq</t>
  </si>
  <si>
    <t>mdtarique022@gmail.com</t>
  </si>
  <si>
    <t>Farzuk</t>
  </si>
  <si>
    <t>farzukkazi@gmail.com</t>
  </si>
  <si>
    <t>Alvin</t>
  </si>
  <si>
    <t>alvin.thomast@gmail.com</t>
  </si>
  <si>
    <t>Lal Thomas</t>
  </si>
  <si>
    <t>lal@lalthomas.com</t>
  </si>
  <si>
    <t>Karl-Heinz Seif</t>
  </si>
  <si>
    <t>khs-invest@gmx.at</t>
  </si>
  <si>
    <t>Gurpreet Singh</t>
  </si>
  <si>
    <t>sandcorporationuae@gmail.com</t>
  </si>
  <si>
    <t>robert Scott</t>
  </si>
  <si>
    <t>scottrob@live.com</t>
  </si>
  <si>
    <t>Bali</t>
  </si>
  <si>
    <t>gupta2001@hotmail.com</t>
  </si>
  <si>
    <t>Waleed</t>
  </si>
  <si>
    <t>waleedalghamlas@gmail.com</t>
  </si>
  <si>
    <t>Reginald Coulter</t>
  </si>
  <si>
    <t>redman75@hotmail.com</t>
  </si>
  <si>
    <t>Mohamed Tharwat</t>
  </si>
  <si>
    <t>m_s_senior@hotmail.com</t>
  </si>
  <si>
    <t>Masooma</t>
  </si>
  <si>
    <t>masooma2100@gmail.com</t>
  </si>
  <si>
    <t>Afroz</t>
  </si>
  <si>
    <t>kasmhl1@hotmail.com</t>
  </si>
  <si>
    <t>Abdelsalam Aly</t>
  </si>
  <si>
    <t>abdelsalam.aly@biomerieux.com</t>
  </si>
  <si>
    <t>Mustafa alsamaraie</t>
  </si>
  <si>
    <t>m.samaraie@gmail.com</t>
  </si>
  <si>
    <t>Prashanth</t>
  </si>
  <si>
    <t>gpprash@gmail.com</t>
  </si>
  <si>
    <t>Marie</t>
  </si>
  <si>
    <t>mlralmarzouqi@gmail.com</t>
  </si>
  <si>
    <t>Sammi sommers</t>
  </si>
  <si>
    <t>boss.sommers@gmail.com</t>
  </si>
  <si>
    <t>Medhat Ali</t>
  </si>
  <si>
    <t>medhatali78@hotmail.com</t>
  </si>
  <si>
    <t>Yaser Maklai</t>
  </si>
  <si>
    <t>yaser_maklai@hotmail.com</t>
  </si>
  <si>
    <t>matsuoyama29@gmail.com</t>
  </si>
  <si>
    <t>Soltan</t>
  </si>
  <si>
    <t>sultan-sharaf@hotmail.com</t>
  </si>
  <si>
    <t>Dr Abid Hussain Paracha</t>
  </si>
  <si>
    <t>ABIDHUSSAIN_001@YAHOO.CA</t>
  </si>
  <si>
    <t>vaziri77@yahoo.com</t>
  </si>
  <si>
    <t>Sandra Gagliardi</t>
  </si>
  <si>
    <t>sandra@gagliardi.ae</t>
  </si>
  <si>
    <t>Saleh</t>
  </si>
  <si>
    <t>q83emee@gmail.com</t>
  </si>
  <si>
    <t>Anu Raj</t>
  </si>
  <si>
    <t>anu.raj78@ymail.com</t>
  </si>
  <si>
    <t>مروان</t>
  </si>
  <si>
    <t>marwan_alzaabi@hotmail.com</t>
  </si>
  <si>
    <t>Anubha</t>
  </si>
  <si>
    <t>anu-ashu@live.com</t>
  </si>
  <si>
    <t>احمد سالم ابوظهير</t>
  </si>
  <si>
    <t>groupalabrar1991@gmail.com</t>
  </si>
  <si>
    <t>Bhawna</t>
  </si>
  <si>
    <t>bhawna.rani88@yahoo.com</t>
  </si>
  <si>
    <t>Deepak</t>
  </si>
  <si>
    <t>mcdeep.deepak@gmail.com</t>
  </si>
  <si>
    <t>Facebook Lead Ads: HS_Damac Villas_LG_English_31AUG_NEW</t>
  </si>
  <si>
    <t>Fatima Kabli</t>
  </si>
  <si>
    <t>fanta9379@hotmail.com</t>
  </si>
  <si>
    <t>Prateek Mehra</t>
  </si>
  <si>
    <t>caprateekmehra@gmail.com</t>
  </si>
  <si>
    <t>Lot</t>
  </si>
  <si>
    <t>lothdeguia@yahoo.com</t>
  </si>
  <si>
    <t>Poush</t>
  </si>
  <si>
    <t>Poush.Vyas@gmail.com</t>
  </si>
  <si>
    <t>George</t>
  </si>
  <si>
    <t>georgeabukassem@hotmail.com</t>
  </si>
  <si>
    <t>a-al_rumaithi@hotmail.com</t>
  </si>
  <si>
    <t>Bu Rashed</t>
  </si>
  <si>
    <t>hfjjgt@hotmail.com</t>
  </si>
  <si>
    <t>Prachi Daga</t>
  </si>
  <si>
    <t>prachi2711@gmail.com</t>
  </si>
  <si>
    <t>Seena Alrawi</t>
  </si>
  <si>
    <t>sina.alrawi@yahoo.com</t>
  </si>
  <si>
    <t>k41114@hotmail.com</t>
  </si>
  <si>
    <t>Facebook Lead Ads: HS_Damac Mega Event_LG_English_01Sep</t>
  </si>
  <si>
    <t>Sneha Lokhandwala</t>
  </si>
  <si>
    <t>sneha.lokhandwala@hotmail.com</t>
  </si>
  <si>
    <t>Shyam Agraharapu</t>
  </si>
  <si>
    <t>absshyam26@gmail.com</t>
  </si>
  <si>
    <t>Pranav Kapoor</t>
  </si>
  <si>
    <t>kapoor.pranav@gmail.com</t>
  </si>
  <si>
    <t>Rais Ahmed Lodhi</t>
  </si>
  <si>
    <t>lodhi100@hotmail.com</t>
  </si>
  <si>
    <t>Madelaine Franklin</t>
  </si>
  <si>
    <t>madelainehiggs@gmail.com</t>
  </si>
  <si>
    <t>Unit Selection (Sales Pipeline)</t>
  </si>
  <si>
    <t>Tarik</t>
  </si>
  <si>
    <t>tarighj@gmail.com</t>
  </si>
  <si>
    <t>Naveen Rajendra</t>
  </si>
  <si>
    <t>naveenviji@gmail.com</t>
  </si>
  <si>
    <t>Rizwan</t>
  </si>
  <si>
    <t>rizwankhimani2005@gmail.com</t>
  </si>
  <si>
    <t>Dipti Bhorgay Karkera</t>
  </si>
  <si>
    <t>diptibhorgay@gmail.com</t>
  </si>
  <si>
    <t>Shashikanth</t>
  </si>
  <si>
    <t>shashikanth@outlook.in</t>
  </si>
  <si>
    <t>Wissam Saadeddine</t>
  </si>
  <si>
    <t>wissam_sd@live.com</t>
  </si>
  <si>
    <t>Haseena</t>
  </si>
  <si>
    <t>hasi@worldstarholding.com</t>
  </si>
  <si>
    <t>Abdulla Al-Majid</t>
  </si>
  <si>
    <t>almajid1@hotmail.com</t>
  </si>
  <si>
    <t>Mohamed Rabick</t>
  </si>
  <si>
    <t>rabickm@gmail.com</t>
  </si>
  <si>
    <t>Naveen Goveas.</t>
  </si>
  <si>
    <t>goveas24@gmail.com</t>
  </si>
  <si>
    <t>Roufaydah Megid</t>
  </si>
  <si>
    <t>roufaydah27@hotmail.com</t>
  </si>
  <si>
    <t>Beverley Swinerd</t>
  </si>
  <si>
    <t>beverley.swinerd@mediclinic.ae</t>
  </si>
  <si>
    <t>Tamer Zayed</t>
  </si>
  <si>
    <t>zayedtamer@hotmail.com</t>
  </si>
  <si>
    <t>Alpa Aggarwal</t>
  </si>
  <si>
    <t>alpa85@gmail.com</t>
  </si>
  <si>
    <t>احمد سالم</t>
  </si>
  <si>
    <t>ash3288@hotmail.com</t>
  </si>
  <si>
    <t>Montel Goodrick-Maiava</t>
  </si>
  <si>
    <t>mgoodrickmaiava@gmail.com</t>
  </si>
  <si>
    <t>Fathima Ahmed</t>
  </si>
  <si>
    <t>fathiruby@gmail.com</t>
  </si>
  <si>
    <t>Sonia</t>
  </si>
  <si>
    <t>soniarizwan1990@gmail.com</t>
  </si>
  <si>
    <t>عمار</t>
  </si>
  <si>
    <t>a7la-ad@hotmail.com</t>
  </si>
  <si>
    <t>Abdalmajid</t>
  </si>
  <si>
    <t>alarosajwgold@gmail.com</t>
  </si>
  <si>
    <t>Elan Bassier</t>
  </si>
  <si>
    <t>elano_80@hotmail.com</t>
  </si>
  <si>
    <t>Vinod</t>
  </si>
  <si>
    <t>vinodasnani0@gmail.com</t>
  </si>
  <si>
    <t>Muhammad Kashif</t>
  </si>
  <si>
    <t>macaw230@hotmail.com</t>
  </si>
  <si>
    <t>Madan Mohan</t>
  </si>
  <si>
    <t>macmaddy_1981@yahoo.com</t>
  </si>
  <si>
    <t>Faisal Hussain</t>
  </si>
  <si>
    <t>faisal.h@mashriqtelecom.com</t>
  </si>
  <si>
    <t>Hemant tiwari</t>
  </si>
  <si>
    <t>hemanthdo@yahoo.com</t>
  </si>
  <si>
    <t>Farhan Ali Khan</t>
  </si>
  <si>
    <t>famiali@hotmail.com</t>
  </si>
  <si>
    <t>shynila</t>
  </si>
  <si>
    <t>shyshaj@gmail.com</t>
  </si>
  <si>
    <t>Kareem ibrahim</t>
  </si>
  <si>
    <t>kareem_magdy_ibrahim@hotmail.com</t>
  </si>
  <si>
    <t>Ahmed ebrahim</t>
  </si>
  <si>
    <t>ah_20@hotmail.com</t>
  </si>
  <si>
    <t>Abdulrahman</t>
  </si>
  <si>
    <t>m_cd_55@hotmail.com</t>
  </si>
  <si>
    <t>Junaid Quyyum Hashmi</t>
  </si>
  <si>
    <t>junaidquyyum@gmail.com</t>
  </si>
  <si>
    <t>Pragati Grover</t>
  </si>
  <si>
    <t>pragatianil@gmail.com</t>
  </si>
  <si>
    <t>Hussain 3 bed payment plan</t>
  </si>
  <si>
    <t>hussain.wali@hotmail.com</t>
  </si>
  <si>
    <t>Zainulabedeen Khamusi</t>
  </si>
  <si>
    <t>elbagour786@gmail.com</t>
  </si>
  <si>
    <t>soookary@yahoo.com</t>
  </si>
  <si>
    <t>LAYTH</t>
  </si>
  <si>
    <t>laith7046@yahoo.com</t>
  </si>
  <si>
    <t>Mj</t>
  </si>
  <si>
    <t>mj.chanco@yahoo.com</t>
  </si>
  <si>
    <t>Ali</t>
  </si>
  <si>
    <t>hasanaligemail@gmail.com</t>
  </si>
  <si>
    <t>Vikas Anand</t>
  </si>
  <si>
    <t>anand_bicky@hotmail.com</t>
  </si>
  <si>
    <t>ñëjù śhãń</t>
  </si>
  <si>
    <t>nejilashani@gmail.com</t>
  </si>
  <si>
    <t>Anmol mathur</t>
  </si>
  <si>
    <t>anmolmathur827@gmail.com</t>
  </si>
  <si>
    <t>Assadullah</t>
  </si>
  <si>
    <t>assadullah.rasooli@ar-intl.net</t>
  </si>
  <si>
    <t>Helga Alali</t>
  </si>
  <si>
    <t>Helgaalfredschmalz@gmail.com</t>
  </si>
  <si>
    <t>Sara</t>
  </si>
  <si>
    <t>sarahmajdi@hotmail.com</t>
  </si>
  <si>
    <t>Hamzeh</t>
  </si>
  <si>
    <t>aspire_me@live.com</t>
  </si>
  <si>
    <t>Snigdha Dash</t>
  </si>
  <si>
    <t>snigdha.julie@gmail.com</t>
  </si>
  <si>
    <t>Rana Elnaka</t>
  </si>
  <si>
    <t>ranaali14@hotmail.com</t>
  </si>
  <si>
    <t>Abu amir</t>
  </si>
  <si>
    <t>amir7707@eim.ae</t>
  </si>
  <si>
    <t>ناعمة</t>
  </si>
  <si>
    <t>naemaalali@yahoo.com</t>
  </si>
  <si>
    <t>Ashutosh Moudgill</t>
  </si>
  <si>
    <t>ashumoud@yahoo.com</t>
  </si>
  <si>
    <t>Hansa Mallik</t>
  </si>
  <si>
    <t>hansam@gmail.com</t>
  </si>
  <si>
    <t>Raheel Vohra</t>
  </si>
  <si>
    <t>raheelvohra@hotmail.com</t>
  </si>
  <si>
    <t>Drnaseem Rahim</t>
  </si>
  <si>
    <t>drnaseem737@gmail.com</t>
  </si>
  <si>
    <t>Rose Shuraiteh</t>
  </si>
  <si>
    <t>rose.6511@hotmail.com</t>
  </si>
  <si>
    <t>maryam.alayderousi@gmail.com</t>
  </si>
  <si>
    <t>Damac Event 5th Sep</t>
  </si>
  <si>
    <t>Ghassan assaf</t>
  </si>
  <si>
    <t>ghassan.assaf@wurth.ae</t>
  </si>
  <si>
    <t>Ramachandra Hegde</t>
  </si>
  <si>
    <t>ramhegde17@gmail.com</t>
  </si>
  <si>
    <t>Malyoon Mixileh</t>
  </si>
  <si>
    <t>dr_axmed@hotmail.com</t>
  </si>
  <si>
    <t>Hamed Al Hammadi</t>
  </si>
  <si>
    <t>ha-aa@live.com</t>
  </si>
  <si>
    <t>Rohit Sharma</t>
  </si>
  <si>
    <t>saferohit@rediffmail.com</t>
  </si>
  <si>
    <t>Saman Kashif</t>
  </si>
  <si>
    <t>samankashif.24@gmail.com</t>
  </si>
  <si>
    <t>Sweta</t>
  </si>
  <si>
    <t>contactsweta@gmail.com</t>
  </si>
  <si>
    <t>Kumara raja</t>
  </si>
  <si>
    <t>kumararaja77@gmail.com</t>
  </si>
  <si>
    <t>Sayed Ibrahim</t>
  </si>
  <si>
    <t>alsabab-88@hotmail.com</t>
  </si>
  <si>
    <t>Rekha Swathi Palikila</t>
  </si>
  <si>
    <t>rekhas3@yahoo.com</t>
  </si>
  <si>
    <t>Jay</t>
  </si>
  <si>
    <t>jayganeshjadhav@hotmail.com</t>
  </si>
  <si>
    <t>المهند عثمان بشير</t>
  </si>
  <si>
    <t>eng.almohanned@gmail.com</t>
  </si>
  <si>
    <t>Ali Mazahir</t>
  </si>
  <si>
    <t>Amazahir@gmail.com</t>
  </si>
  <si>
    <t>Rachael</t>
  </si>
  <si>
    <t>ramnaj2@yahoo.com</t>
  </si>
  <si>
    <t>نبيل محمد</t>
  </si>
  <si>
    <t>Nabilms78@yahoo.com</t>
  </si>
  <si>
    <t>Akeel</t>
  </si>
  <si>
    <t>akeel779@hotmail.com</t>
  </si>
  <si>
    <t>SarA</t>
  </si>
  <si>
    <t>drsaraafsharinia@gmail.com</t>
  </si>
  <si>
    <t>Aisha hd</t>
  </si>
  <si>
    <t>shineazumi1@gmail.com</t>
  </si>
  <si>
    <t>Ali Zaidi</t>
  </si>
  <si>
    <t>s.ali.zee05@gmail.com</t>
  </si>
  <si>
    <t>احمد القاسم</t>
  </si>
  <si>
    <t>aboualqasim@yahoo.com</t>
  </si>
  <si>
    <t>Sathish</t>
  </si>
  <si>
    <t>shathishprabu@gmail.com</t>
  </si>
  <si>
    <t>شهاب</t>
  </si>
  <si>
    <t>shebe2020@hotmail.com</t>
  </si>
  <si>
    <t>Taimoor Choudhry</t>
  </si>
  <si>
    <t>taimoor.alli@live.com</t>
  </si>
  <si>
    <t>Rajneesh</t>
  </si>
  <si>
    <t>rajneesharora03@gmail.com</t>
  </si>
  <si>
    <t>Prabagar</t>
  </si>
  <si>
    <t>pvmprabagar@gmail.com</t>
  </si>
  <si>
    <t>Nitesh Singhal</t>
  </si>
  <si>
    <t>niteshsinghal469@gmail.com</t>
  </si>
  <si>
    <t>Hosam</t>
  </si>
  <si>
    <t>hosamakk@gmail.com</t>
  </si>
  <si>
    <t>Shabbir</t>
  </si>
  <si>
    <t>shabbir@nahtrading.net</t>
  </si>
  <si>
    <t>OsamaMohammedOmer</t>
  </si>
  <si>
    <t>osama.omer21@gmail.com</t>
  </si>
  <si>
    <t>Pravin Kolapkar</t>
  </si>
  <si>
    <t>pravin.kolapkar@gmail.com</t>
  </si>
  <si>
    <t>Rasha Rashwan</t>
  </si>
  <si>
    <t>rasha9788@yahoo.com</t>
  </si>
  <si>
    <t>mohdmub@hotmail.com</t>
  </si>
  <si>
    <t>Amaal Alruhaiman</t>
  </si>
  <si>
    <t>amaalalruhaiman@gmail.com</t>
  </si>
  <si>
    <t>Mustafa Madi</t>
  </si>
  <si>
    <t>mustafamadi1@hotmail.com</t>
  </si>
  <si>
    <t>Dmitry</t>
  </si>
  <si>
    <t>stoupin@mail.ru</t>
  </si>
  <si>
    <t>Rimla</t>
  </si>
  <si>
    <t>rimlasyeda@gmail.com</t>
  </si>
  <si>
    <t>Ahmed Akhtar</t>
  </si>
  <si>
    <t>akhtar@iwiregroup.com</t>
  </si>
  <si>
    <t>Fahd Waseem</t>
  </si>
  <si>
    <t>fahdwaseem@gmail.com</t>
  </si>
  <si>
    <t>Facebook Lead Ads: HS_Damac Mega Event_LG_English_26AUG</t>
  </si>
  <si>
    <t>Simon Leiper</t>
  </si>
  <si>
    <t>simonleiper@hotmail.com</t>
  </si>
  <si>
    <t>Abdelaziz</t>
  </si>
  <si>
    <t>abdelaziz.alraeesi@yahoo.com</t>
  </si>
  <si>
    <t>Billal hussain</t>
  </si>
  <si>
    <t>xyz9090@yahoo.con</t>
  </si>
  <si>
    <t>Sunita</t>
  </si>
  <si>
    <t>sunita.maheshwari@gmail.com</t>
  </si>
  <si>
    <t>Himanshu</t>
  </si>
  <si>
    <t>himanshuginni.hs@gmail.com</t>
  </si>
  <si>
    <t>Abdulla Alawadhi</t>
  </si>
  <si>
    <t>abdula.alawadi@gmail.com</t>
  </si>
  <si>
    <t>Nawab</t>
  </si>
  <si>
    <t>nawab777k@yahoo.com</t>
  </si>
  <si>
    <t>راشد</t>
  </si>
  <si>
    <t>rashooduaq334@gmial.com</t>
  </si>
  <si>
    <t>Hossam Mahgoub</t>
  </si>
  <si>
    <t>mahgoub9240@gmail.com</t>
  </si>
  <si>
    <t>chahine assaf</t>
  </si>
  <si>
    <t>shadi076@hotmail.com</t>
  </si>
  <si>
    <t>Shazia</t>
  </si>
  <si>
    <t>Shazianaqvi476@gmail.com</t>
  </si>
  <si>
    <t>Jaikishan</t>
  </si>
  <si>
    <t>chaiglobal@gmail.com</t>
  </si>
  <si>
    <t>Vijay</t>
  </si>
  <si>
    <t>vjsat9@gmail.com</t>
  </si>
  <si>
    <t>Raviraj</t>
  </si>
  <si>
    <t>ravirajdeshmukh79@gmail.com</t>
  </si>
  <si>
    <t>Hussain</t>
  </si>
  <si>
    <t>Hussain.uae.bip@gmail.com</t>
  </si>
  <si>
    <t>Ibrahim baggash</t>
  </si>
  <si>
    <t>ibby2666@gmail.com</t>
  </si>
  <si>
    <t>Mirzad</t>
  </si>
  <si>
    <t>sales@allseasdubai.com</t>
  </si>
  <si>
    <t>Mohammad Alammuri</t>
  </si>
  <si>
    <t>mohammad.alammuri@gmail.com</t>
  </si>
  <si>
    <t>Hassan</t>
  </si>
  <si>
    <t>hassan.ca1@gmail.com</t>
  </si>
  <si>
    <t>VADIM</t>
  </si>
  <si>
    <t>batimka@mail.ru</t>
  </si>
  <si>
    <t>Rihanna (rihanna@hsproperties.ae)</t>
  </si>
  <si>
    <t>Nitha</t>
  </si>
  <si>
    <t>Nithajoseph@gmail.com</t>
  </si>
  <si>
    <t>Sarafaiz386@gmail.com</t>
  </si>
  <si>
    <t>Nadeem</t>
  </si>
  <si>
    <t>uzma.nadeem@yahoo.com</t>
  </si>
  <si>
    <t>saeed</t>
  </si>
  <si>
    <t>qbd1@hotmail.com</t>
  </si>
  <si>
    <t>حسن طارق حسن سالم</t>
  </si>
  <si>
    <t>hassantarig222@gmail.com</t>
  </si>
  <si>
    <t>Pooja Chhabria</t>
  </si>
  <si>
    <t>poojachhabria@hotmail.com</t>
  </si>
  <si>
    <t>Redouane</t>
  </si>
  <si>
    <t>redouane.haddadji@gmail.com</t>
  </si>
  <si>
    <t>Tariq</t>
  </si>
  <si>
    <t>tariq.obaid@mubarak.ae</t>
  </si>
  <si>
    <t>Damac Mega Event</t>
  </si>
  <si>
    <t>Dipmala Bhagat Gandhi</t>
  </si>
  <si>
    <t>kevish2007@gmail.com</t>
  </si>
  <si>
    <t>Vijay Shetty</t>
  </si>
  <si>
    <t>vijshetty@gmail.com</t>
  </si>
  <si>
    <t>Mandy sunner</t>
  </si>
  <si>
    <t>m.sunner@hotmail.co.uk</t>
  </si>
  <si>
    <t>marriam_alamy@yahoo.com</t>
  </si>
  <si>
    <t>Ghunaim</t>
  </si>
  <si>
    <t>ghunaimahmed5909@gmail.com</t>
  </si>
  <si>
    <t>Lois</t>
  </si>
  <si>
    <t>lakoth@yahoo.com</t>
  </si>
  <si>
    <t>Ghassan Fayyad</t>
  </si>
  <si>
    <t>gaf4u@hotmail.com</t>
  </si>
  <si>
    <t>Ahmed AlShaikh</t>
  </si>
  <si>
    <t>g.zara.alshaikh@gmail.com</t>
  </si>
  <si>
    <t>Jai prakash</t>
  </si>
  <si>
    <t>nsshoe@eim.ae</t>
  </si>
  <si>
    <t>Damac Paramount</t>
  </si>
  <si>
    <t>MUHAMMAD IQBAL</t>
  </si>
  <si>
    <t>iqbal@dsitek.com</t>
  </si>
  <si>
    <t>aman siddiqui</t>
  </si>
  <si>
    <t>amanasiddiqui@yahoo.com</t>
  </si>
  <si>
    <t>Ashraf</t>
  </si>
  <si>
    <t>Ashok</t>
  </si>
  <si>
    <t>ashoknankani1@gmail.com</t>
  </si>
  <si>
    <t>tarana dodani</t>
  </si>
  <si>
    <t>taranadodani@hotmail.com</t>
  </si>
  <si>
    <t>Grohe</t>
  </si>
  <si>
    <t>matthiasgrohe@yahoo.de</t>
  </si>
  <si>
    <t>Sunanda Panikkar</t>
  </si>
  <si>
    <t>punnappilly@yahoo.com</t>
  </si>
  <si>
    <t>Mohammad Hussein</t>
  </si>
  <si>
    <t>mfahmi73@hotmail.com</t>
  </si>
  <si>
    <t>SURESH</t>
  </si>
  <si>
    <t>tong@hsproperties.ae</t>
  </si>
  <si>
    <t>Mohamed Nazier</t>
  </si>
  <si>
    <t>mohamednazier@gmail.com</t>
  </si>
  <si>
    <t>Rishi Sehgal</t>
  </si>
  <si>
    <t>rishi_sehgal@hotmail.com</t>
  </si>
  <si>
    <t>Jashim Salam</t>
  </si>
  <si>
    <t>jashim_u65@yahoo.com</t>
  </si>
  <si>
    <t>Tamer Mustafa</t>
  </si>
  <si>
    <t>tamer@outofzbox.com</t>
  </si>
  <si>
    <t>Dinesh</t>
  </si>
  <si>
    <t>dinesh.ramesh@gmail.com</t>
  </si>
  <si>
    <t>Shivendra Singh</t>
  </si>
  <si>
    <t>singhluckyiipm@gmail.com</t>
  </si>
  <si>
    <t>Elga Kassebaum</t>
  </si>
  <si>
    <t>elgakassebaum@gmail.com</t>
  </si>
  <si>
    <t>Yash</t>
  </si>
  <si>
    <t>ysinghchauhan@gmail.com</t>
  </si>
  <si>
    <t>Kalman Kurucz</t>
  </si>
  <si>
    <t>kalman.kurucz.hmb@gmail.com</t>
  </si>
  <si>
    <t>Wafa</t>
  </si>
  <si>
    <t>s@yahoo.com</t>
  </si>
  <si>
    <t>Hem</t>
  </si>
  <si>
    <t>himindra07@gmail.com</t>
  </si>
  <si>
    <t>Shahid</t>
  </si>
  <si>
    <t>ssafdar@hotmail.com</t>
  </si>
  <si>
    <t>Sandeep Kashyap Sandy</t>
  </si>
  <si>
    <t>krsandeep72@gmail.com</t>
  </si>
  <si>
    <t>Umair</t>
  </si>
  <si>
    <t>umair.rehman91@gmail.com</t>
  </si>
  <si>
    <t>Nee</t>
  </si>
  <si>
    <t>neon769@gmail.com</t>
  </si>
  <si>
    <t>Mohammad Yusuf Naz</t>
  </si>
  <si>
    <t>mbusal@hotmail.com</t>
  </si>
  <si>
    <t>Dr. Mohamed AlHosani</t>
  </si>
  <si>
    <t>mmm2803@hotmail.com</t>
  </si>
  <si>
    <t>Ahmed Mussabi</t>
  </si>
  <si>
    <t>mussaibi2341110@hotmail.com</t>
  </si>
  <si>
    <t>Waqas</t>
  </si>
  <si>
    <t>moha1082moha@gmail.com</t>
  </si>
  <si>
    <t>amit</t>
  </si>
  <si>
    <t>amitlalyan@gmail.com</t>
  </si>
  <si>
    <t>Islam eltantawy</t>
  </si>
  <si>
    <t>islam.eltantawy@gmail.com</t>
  </si>
  <si>
    <t>Amit</t>
  </si>
  <si>
    <t>amitshahani@hotmail.com</t>
  </si>
  <si>
    <t>ASHWIN K BHATIA</t>
  </si>
  <si>
    <t>ashwin@electromec-uae.com</t>
  </si>
  <si>
    <t>Dale Vaz</t>
  </si>
  <si>
    <t>dale20182018@hotmail.com</t>
  </si>
  <si>
    <t>Mohamed Mahmoud</t>
  </si>
  <si>
    <t>gtr-34@hotmail.co.uk</t>
  </si>
  <si>
    <t>Feras</t>
  </si>
  <si>
    <t>ferasyounes@gmail.com</t>
  </si>
  <si>
    <t>Mahmood</t>
  </si>
  <si>
    <t>maabudaqqa@gmail.com</t>
  </si>
  <si>
    <t>Naser</t>
  </si>
  <si>
    <t>nsasadi@yahoo.com</t>
  </si>
  <si>
    <t>ام سيف</t>
  </si>
  <si>
    <t>maha_alwahshi1990@hotmail.com</t>
  </si>
  <si>
    <t>لطيفه النعيمي</t>
  </si>
  <si>
    <t>latifa.alnuaimi11@hotmail.com</t>
  </si>
  <si>
    <t>Alaa</t>
  </si>
  <si>
    <t>alaa.subky@gmail.com</t>
  </si>
  <si>
    <t>سالم الظاهري</t>
  </si>
  <si>
    <t>1979salem@gmail.com</t>
  </si>
  <si>
    <t>Morteza</t>
  </si>
  <si>
    <t>mvadiee2@gmail.com</t>
  </si>
  <si>
    <t>Hamad</t>
  </si>
  <si>
    <t>r3amh@hotmail.com</t>
  </si>
  <si>
    <t>Mina</t>
  </si>
  <si>
    <t>melawork1987@gmail.com</t>
  </si>
  <si>
    <t>Karen</t>
  </si>
  <si>
    <t>kpic122715@gmail.com</t>
  </si>
  <si>
    <t>Laureen</t>
  </si>
  <si>
    <t>awuorlaureen@yahoo.com</t>
  </si>
  <si>
    <t>Sherif Fahmy</t>
  </si>
  <si>
    <t>sherio16@hotmail.com</t>
  </si>
  <si>
    <t>Khulud</t>
  </si>
  <si>
    <t>mrs.bintouq@gmail.com</t>
  </si>
  <si>
    <t>Shareek</t>
  </si>
  <si>
    <t>shareekkp@hotmail.com</t>
  </si>
  <si>
    <t>Rahul</t>
  </si>
  <si>
    <t>rah_3@hotmail.com</t>
  </si>
  <si>
    <t>haytham29@gmail.com</t>
  </si>
  <si>
    <t>Hristo Kalpakchiev</t>
  </si>
  <si>
    <t>hristo.kalpakchiev@gmail.com</t>
  </si>
  <si>
    <t>Nadia Hufkie</t>
  </si>
  <si>
    <t>nadia.hufkie@gmail.com</t>
  </si>
  <si>
    <t>Saeed aldhaheri</t>
  </si>
  <si>
    <t>saeedmasoud1988@gmail.com</t>
  </si>
  <si>
    <t>owais</t>
  </si>
  <si>
    <t>owais.ift@gmail.com</t>
  </si>
  <si>
    <t>سليم</t>
  </si>
  <si>
    <t>salimanaplace@gmial.com</t>
  </si>
  <si>
    <t>Maitha</t>
  </si>
  <si>
    <t>um-khawl3@hotmail.com</t>
  </si>
  <si>
    <t>Ahmad Remayyed</t>
  </si>
  <si>
    <t>ahmad14780@hotmail.com</t>
  </si>
  <si>
    <t>Majed abduljalil</t>
  </si>
  <si>
    <t>maged-81@live.com</t>
  </si>
  <si>
    <t>علي الحمادي</t>
  </si>
  <si>
    <t>alihammadi.9911@gmail.com</t>
  </si>
  <si>
    <t>Kinana saraf</t>
  </si>
  <si>
    <t>keny131272@gmail.con</t>
  </si>
  <si>
    <t>Charbel Zreiby</t>
  </si>
  <si>
    <t>charbel.zreiby@hotmail.com</t>
  </si>
  <si>
    <t>Khuzema Yusufali</t>
  </si>
  <si>
    <t>yusufali38@hotmail.com</t>
  </si>
  <si>
    <t>Babar</t>
  </si>
  <si>
    <t>babar.a.hashmi@gmail.com</t>
  </si>
  <si>
    <t>Raed wannous</t>
  </si>
  <si>
    <t>raedwannous@yahoo.com</t>
  </si>
  <si>
    <t>Bruce Jagtiani</t>
  </si>
  <si>
    <t>brucejagtiani@gmail.com</t>
  </si>
  <si>
    <t>yousef</t>
  </si>
  <si>
    <t>yousef.kamali@yahoo.com</t>
  </si>
  <si>
    <t>Damac Villas - H&amp;S</t>
  </si>
  <si>
    <t>Zohaib Ahmed Siddiqui</t>
  </si>
  <si>
    <t>zohaib.siddiqui@live.com</t>
  </si>
  <si>
    <t>Akber khan</t>
  </si>
  <si>
    <t>pridehill2016@gmail.com</t>
  </si>
  <si>
    <t>Chakir</t>
  </si>
  <si>
    <t>pakukas@hotmail.com</t>
  </si>
  <si>
    <t>Parishey awais</t>
  </si>
  <si>
    <t>awaisabbasi1990@gmail.com</t>
  </si>
  <si>
    <t>Osman Shahzad</t>
  </si>
  <si>
    <t>osmanshahzad1981@gmail.com</t>
  </si>
  <si>
    <t>radwan.2020@yahoo.com</t>
  </si>
  <si>
    <t>Arshe Noor (arshe@hspropert</t>
  </si>
  <si>
    <t>Kumar</t>
  </si>
  <si>
    <t>hemant4@yahoo.com</t>
  </si>
  <si>
    <t>Aysel Seyidova (aysel@hsproperties.ae)</t>
  </si>
  <si>
    <t>نجيبة المعمري</t>
  </si>
  <si>
    <t>najiba155@gmail.com</t>
  </si>
  <si>
    <t>MAHMOUD</t>
  </si>
  <si>
    <t>mhdabo3roa@gmail.com</t>
  </si>
  <si>
    <t>يوسف</t>
  </si>
  <si>
    <t>bo_hadif_101@hotmail.com</t>
  </si>
  <si>
    <t>samassi_1985@yahoo.com</t>
  </si>
  <si>
    <t>Mehdi Youcef</t>
  </si>
  <si>
    <t>mehdi.kedjour@gmail.com</t>
  </si>
  <si>
    <t>محمد</t>
  </si>
  <si>
    <t>sljoodlee@gmail.com</t>
  </si>
  <si>
    <t>ناصر عبدالله</t>
  </si>
  <si>
    <t>noon66366@gmail.com</t>
  </si>
  <si>
    <t>ah.mohsen.90@gmail.com</t>
  </si>
  <si>
    <t>gog@gmail.com</t>
  </si>
  <si>
    <t>Sapan</t>
  </si>
  <si>
    <t>kpunit23@gmail.com</t>
  </si>
  <si>
    <t>Muhammad Shakeel</t>
  </si>
  <si>
    <t>mshakeel1089@gmail.com</t>
  </si>
  <si>
    <t>Bijilesh</t>
  </si>
  <si>
    <t>bijileshraj@gmail.com</t>
  </si>
  <si>
    <t>Hood Abdulla</t>
  </si>
  <si>
    <t>hoodabdullah@gmail.com</t>
  </si>
  <si>
    <t>Mojgan</t>
  </si>
  <si>
    <t>mojgan.mehrgan77@gmail.com</t>
  </si>
  <si>
    <t>Yousif Alnaqbi</t>
  </si>
  <si>
    <t>yalnaqbi1@hotmail.com</t>
  </si>
  <si>
    <t>Ithri</t>
  </si>
  <si>
    <t>benkaciithri@gmail.com</t>
  </si>
  <si>
    <t>Anwar</t>
  </si>
  <si>
    <t>anwar.alshawish@yahoo.com</t>
  </si>
  <si>
    <t>Khuloud</t>
  </si>
  <si>
    <t>khulood_abdulla@hotmail.com</t>
  </si>
  <si>
    <t>Marwan</t>
  </si>
  <si>
    <t>marwanss@live.com</t>
  </si>
  <si>
    <t>Buddhiman Giri</t>
  </si>
  <si>
    <t>bishal_gr2003@yahoo.com</t>
  </si>
  <si>
    <t>Atamkhan830@gmail.com</t>
  </si>
  <si>
    <t>باسل</t>
  </si>
  <si>
    <t>basilalqaisi@live.com</t>
  </si>
  <si>
    <t>Khaled Mohamed</t>
  </si>
  <si>
    <t>riverstarauto@gmail.com</t>
  </si>
  <si>
    <t>محمد احمد</t>
  </si>
  <si>
    <t>alkhanjari2020@gmail.com</t>
  </si>
  <si>
    <t>Jibin Ashraf</t>
  </si>
  <si>
    <t>jibinashraf.89@gmail.com</t>
  </si>
  <si>
    <t>هلال الكتبي</t>
  </si>
  <si>
    <t>hil3l.1974@gmail.com</t>
  </si>
  <si>
    <t>علي عيسي العبدولي</t>
  </si>
  <si>
    <t>aa67777@hoymail.com</t>
  </si>
  <si>
    <t>زكريا</t>
  </si>
  <si>
    <t>zak.alwan@gmail.com</t>
  </si>
  <si>
    <t>ali.alhammadi@fta.gov.ae</t>
  </si>
  <si>
    <t>عيد هادي فارس فرحان</t>
  </si>
  <si>
    <t>eidfarhan7@gmail.com</t>
  </si>
  <si>
    <t>حسبن علي الكندي</t>
  </si>
  <si>
    <t>husainalkindi99@gmail.com</t>
  </si>
  <si>
    <t>omar.alhashemi711@gmail.com</t>
  </si>
  <si>
    <t>مايد مبارك</t>
  </si>
  <si>
    <t>al-jrooh@live.com</t>
  </si>
  <si>
    <t>هاني محمد صبري</t>
  </si>
  <si>
    <t>hany_667@hotmail.com</t>
  </si>
  <si>
    <t>عبدالله سعيد عبدالله</t>
  </si>
  <si>
    <t>salm24828@gamil.com</t>
  </si>
  <si>
    <t>ام هادف</t>
  </si>
  <si>
    <t>aishia.alshamsi135@gmail.com</t>
  </si>
  <si>
    <t>Mohamed Soliman</t>
  </si>
  <si>
    <t>basmamohamed.uae@gmail.com</t>
  </si>
  <si>
    <t>Mourad Khelifi</t>
  </si>
  <si>
    <t>khelifimourad@yahoo.fr</t>
  </si>
  <si>
    <t>Muhammad Masroor Azam Hamza</t>
  </si>
  <si>
    <t>enigma.doc@gmail.com</t>
  </si>
  <si>
    <t>Mohammad Samer Sunalla</t>
  </si>
  <si>
    <t>msunalla@msn.com</t>
  </si>
  <si>
    <t>Marina PLOTSKAYA</t>
  </si>
  <si>
    <t>aishamarina@mail.ru</t>
  </si>
  <si>
    <t>David Rossier</t>
  </si>
  <si>
    <t>david_rossier@yahoo.fr</t>
  </si>
  <si>
    <t>Hanan Al Al B</t>
  </si>
  <si>
    <t>vipsal@hotmail.com</t>
  </si>
  <si>
    <t>Narender Satiani</t>
  </si>
  <si>
    <t>ncsatyani@gmail.com</t>
  </si>
  <si>
    <t>Priya Sunil Nayak</t>
  </si>
  <si>
    <t>priyanayak207@gmail.com</t>
  </si>
  <si>
    <t>gm@sita-travel.net</t>
  </si>
  <si>
    <t>شيخة</t>
  </si>
  <si>
    <t>shosho71000@icould.com</t>
  </si>
  <si>
    <t>Zaid S Shouly</t>
  </si>
  <si>
    <t>zaidshouly@gmail.com</t>
  </si>
  <si>
    <t>Ameera Mohd Essa</t>
  </si>
  <si>
    <t>ameera_m@hotmail.com</t>
  </si>
  <si>
    <t>Mfd Haj Chedly</t>
  </si>
  <si>
    <t>smfada@gmail.com</t>
  </si>
  <si>
    <t>Damac Promotion - H&amp;S</t>
  </si>
  <si>
    <t>Kamran Hussain</t>
  </si>
  <si>
    <t>skamran75@gmail.com</t>
  </si>
  <si>
    <t>Jeetender Lala</t>
  </si>
  <si>
    <t>jeetenderlala@gmail.com</t>
  </si>
  <si>
    <t>Nataraj Vedam</t>
  </si>
  <si>
    <t>vedamnataraj@yahoo.com</t>
  </si>
  <si>
    <t>Omar Daher</t>
  </si>
  <si>
    <t>odaher@gmail.com</t>
  </si>
  <si>
    <t>nahla</t>
  </si>
  <si>
    <t>ado0ollberry@hotmail.com</t>
  </si>
  <si>
    <t>حسن حلي</t>
  </si>
  <si>
    <t>fire9997@hotmil.com</t>
  </si>
  <si>
    <t>Maitha.almheiri</t>
  </si>
  <si>
    <t>maitha.almheiri85@gmail.com</t>
  </si>
  <si>
    <t>ربيع الحمودي</t>
  </si>
  <si>
    <t>alwheed_220@hotmail.com</t>
  </si>
  <si>
    <t>ماجد محمد</t>
  </si>
  <si>
    <t>mayed77@hotmail.com</t>
  </si>
  <si>
    <t>King.ad20086@gmail.com</t>
  </si>
  <si>
    <t>Florendo</t>
  </si>
  <si>
    <t>florendo@blackpearlconsult.com</t>
  </si>
  <si>
    <t>خالد محمد بن جبر</t>
  </si>
  <si>
    <t>labeah@hotmail.com</t>
  </si>
  <si>
    <t>Sajith</t>
  </si>
  <si>
    <t>sajithvv79@yahoo.co.in</t>
  </si>
  <si>
    <t>Dina Aj</t>
  </si>
  <si>
    <t>dina.aj.27@gmail.com</t>
  </si>
  <si>
    <t>أحمد العوضي</t>
  </si>
  <si>
    <t>alawadi2211@hotmail.com</t>
  </si>
  <si>
    <t>Ibrahim</t>
  </si>
  <si>
    <t>ibrahim@group4lifeuae.com</t>
  </si>
  <si>
    <t>Fatema Jhinuk Khalis</t>
  </si>
  <si>
    <t>fatema.j.khatun@gmail.com</t>
  </si>
  <si>
    <t>bachir william sebaaly</t>
  </si>
  <si>
    <t>bachir.sebaaly@nesma.com</t>
  </si>
  <si>
    <t>Ali alhammadi</t>
  </si>
  <si>
    <t>a.alialhammadi999@gmail.com</t>
  </si>
  <si>
    <t>Ahmed Hamdy</t>
  </si>
  <si>
    <t>ahmedhamdiiiiiii@icloud.com</t>
  </si>
  <si>
    <t>Damac Event July 2020</t>
  </si>
  <si>
    <t>mohamed asim</t>
  </si>
  <si>
    <t>megadubai@gmail.com</t>
  </si>
  <si>
    <t>Abdulaziz</t>
  </si>
  <si>
    <t>falconheart669@hotmail.com</t>
  </si>
  <si>
    <t>Manish Kakkar</t>
  </si>
  <si>
    <t>manishkakkar1977@yahoo.com</t>
  </si>
  <si>
    <t>Akeel Alshawi</t>
  </si>
  <si>
    <t>ahmad</t>
  </si>
  <si>
    <t>ahmad1561980@yahoo.com</t>
  </si>
  <si>
    <t>Mohamed Albarout</t>
  </si>
  <si>
    <t>mobarout@hotmail.com</t>
  </si>
  <si>
    <t>Aman Kohli</t>
  </si>
  <si>
    <t>kohliad@gmail.com</t>
  </si>
  <si>
    <t>Amr El Shawarbi</t>
  </si>
  <si>
    <t>shawarby@hotmail.com</t>
  </si>
  <si>
    <t>Nader</t>
  </si>
  <si>
    <t>nader.nahdi@hotmail.com</t>
  </si>
  <si>
    <t>Mustafa</t>
  </si>
  <si>
    <t>m_al_zarooni@hotmail.com</t>
  </si>
  <si>
    <t>راشد سالم اليليلي</t>
  </si>
  <si>
    <t>rashid.55nt@gmail.com</t>
  </si>
  <si>
    <t>Alaa Hussein</t>
  </si>
  <si>
    <t>alaa-designer@hotmail.com</t>
  </si>
  <si>
    <t>Satish Bandaru</t>
  </si>
  <si>
    <t>alwaysluvme63.sat@gmail.com</t>
  </si>
  <si>
    <t>Mark Robinson</t>
  </si>
  <si>
    <t>mrobinsonzx@gmail.com</t>
  </si>
  <si>
    <t>عبيد</t>
  </si>
  <si>
    <t>uae.2727@hotmail.com</t>
  </si>
  <si>
    <t>عبدالمحسن محمد</t>
  </si>
  <si>
    <t>a-m-alj@hotmail.com</t>
  </si>
  <si>
    <t>Brand</t>
  </si>
  <si>
    <t>branddevilliers@gmail.com</t>
  </si>
  <si>
    <t>Hisham El Feky</t>
  </si>
  <si>
    <t>hishamelfeky@gmail.com</t>
  </si>
  <si>
    <t>Khaled Hamdy</t>
  </si>
  <si>
    <t>kahamdy1@gmail.com</t>
  </si>
  <si>
    <t>Charles Hajjar</t>
  </si>
  <si>
    <t>charles.hajjar@hotmail.com</t>
  </si>
  <si>
    <t>Arslan</t>
  </si>
  <si>
    <t>arslan.anjum42@yahoo.com</t>
  </si>
  <si>
    <t>khalid.aljarjawi@gmail.com</t>
  </si>
  <si>
    <t>Umar</t>
  </si>
  <si>
    <t>umar.mughal83@gmail.com</t>
  </si>
  <si>
    <t>Mohammad Agha</t>
  </si>
  <si>
    <t>mh.agha88@hotmail.com</t>
  </si>
  <si>
    <t>Azza Alzaabi</t>
  </si>
  <si>
    <t>zaabiazza@gmail.com</t>
  </si>
  <si>
    <t>Simon Williams</t>
  </si>
  <si>
    <t>simonjwilliams86@hotmail.co.uk</t>
  </si>
  <si>
    <t>CHOON WAH TAN</t>
  </si>
  <si>
    <t>choonwahwallace@gmail.com</t>
  </si>
  <si>
    <t>cristian</t>
  </si>
  <si>
    <t>cristi.mihai.constantin@gmail.com</t>
  </si>
  <si>
    <t>Mohammed Imtiaz</t>
  </si>
  <si>
    <t>imtiaz11022@yahoo.com</t>
  </si>
  <si>
    <t>Joulian</t>
  </si>
  <si>
    <t>julian2ma@hotmail.com</t>
  </si>
  <si>
    <t>Noora</t>
  </si>
  <si>
    <t>noora.alsaffar123@gmail.com</t>
  </si>
  <si>
    <t>نواف السمرقندي</t>
  </si>
  <si>
    <t>nawaf6020@hotmail.com</t>
  </si>
  <si>
    <t>Devesh Jain</t>
  </si>
  <si>
    <t>devesh4d@gmail.com</t>
  </si>
  <si>
    <t>Oladipupo Olayinka</t>
  </si>
  <si>
    <t>oladipupoolayinka23@yahoo.com</t>
  </si>
  <si>
    <t>Nabeel Merchant</t>
  </si>
  <si>
    <t>nabeel.shabbir@gmail.com</t>
  </si>
  <si>
    <t>Karim</t>
  </si>
  <si>
    <t>karim.m.badr@gmail.com</t>
  </si>
  <si>
    <t>Mm</t>
  </si>
  <si>
    <t>manish.nagpal111@gmail.com</t>
  </si>
  <si>
    <t>Said A Abualkhair</t>
  </si>
  <si>
    <t>saeed_abualkhair@yahoo.co.uk</t>
  </si>
  <si>
    <t>marwan_m84@hotmail.con</t>
  </si>
  <si>
    <t>Mumu Roy Banerjee</t>
  </si>
  <si>
    <t>mumurc80@gmail.com</t>
  </si>
  <si>
    <t>Musaab Faisal</t>
  </si>
  <si>
    <t>musaabfaisal@gmail.com</t>
  </si>
  <si>
    <t>wafa.alblooshi@yahoo.com</t>
  </si>
  <si>
    <t>MOHAMED IBRAHIM SHAJAHAN</t>
  </si>
  <si>
    <t>mis@altajhotels.com</t>
  </si>
  <si>
    <t>Fadhel Fs</t>
  </si>
  <si>
    <t>fsfs1234@yahoo.com</t>
  </si>
  <si>
    <t>Rami Nazer</t>
  </si>
  <si>
    <t>ramialnazer@gmail.com</t>
  </si>
  <si>
    <t>Mulham</t>
  </si>
  <si>
    <t>mulham.k@anorka.com</t>
  </si>
  <si>
    <t>bu_jdjduei@hotmail.com</t>
  </si>
  <si>
    <t>Sara Majdi Ahmed</t>
  </si>
  <si>
    <t>Abdallah</t>
  </si>
  <si>
    <t>heiba4@gmail.com</t>
  </si>
  <si>
    <t>Anoud</t>
  </si>
  <si>
    <t>anoud1987@gmail.com</t>
  </si>
  <si>
    <t>sara_hmaydi@hotmail.com</t>
  </si>
  <si>
    <t>Mohamed Yahia Mahgoub</t>
  </si>
  <si>
    <t>mym-292@hotmail.com</t>
  </si>
  <si>
    <t>Mohammad Zeyad</t>
  </si>
  <si>
    <t>mo.atwany@gmail.com</t>
  </si>
  <si>
    <t>sassousbk@gmail.com</t>
  </si>
  <si>
    <t>Ahmed Eladawi</t>
  </si>
  <si>
    <t>سلطان احمد</t>
  </si>
  <si>
    <t>s4440603@gmail.com</t>
  </si>
  <si>
    <t>Juliana Korth</t>
  </si>
  <si>
    <t>juliana.korth@hotmail.com</t>
  </si>
  <si>
    <t>Damac Mega Sale - H&amp;S</t>
  </si>
  <si>
    <t>Hafsa</t>
  </si>
  <si>
    <t>محمد خليفه الشامسي</t>
  </si>
  <si>
    <t>mk44441.uae@gmail.com</t>
  </si>
  <si>
    <t>Muhammad Sharif</t>
  </si>
  <si>
    <t>mssharif@alite.ae</t>
  </si>
  <si>
    <t>Dandy Ventigan</t>
  </si>
  <si>
    <t>dandyventigan@yahoo.com</t>
  </si>
  <si>
    <t>Emad Mohamed</t>
  </si>
  <si>
    <t>mralomda@gmail.com</t>
  </si>
  <si>
    <t>eng-mohammad-de@hotmail.com</t>
  </si>
  <si>
    <t>ahmedalnairab@gmail.com</t>
  </si>
  <si>
    <t>ذوقان</t>
  </si>
  <si>
    <t>thogan.awamleh@hotmail.com</t>
  </si>
  <si>
    <t>Humaira Hussaini</t>
  </si>
  <si>
    <t>humaira.hussaini@gmail.com</t>
  </si>
  <si>
    <t>Mariam chama</t>
  </si>
  <si>
    <t>meemee_ch@hotmail.com</t>
  </si>
  <si>
    <t>Emad Rashad</t>
  </si>
  <si>
    <t>support@ekat.ae</t>
  </si>
  <si>
    <t>Nitish Sharma</t>
  </si>
  <si>
    <t>nitish31190@gmail.com</t>
  </si>
  <si>
    <t>Ramy</t>
  </si>
  <si>
    <t>ramiabdeldayem15@gmail.com</t>
  </si>
  <si>
    <t>Geetika Dua Kukreja</t>
  </si>
  <si>
    <t>dua.geetika@gmail.com</t>
  </si>
  <si>
    <t>Onar</t>
  </si>
  <si>
    <t>osaleh999@gmail.com</t>
  </si>
  <si>
    <t>Ahmed Ibrahim</t>
  </si>
  <si>
    <t>ahmedabozid80@gmail.com</t>
  </si>
  <si>
    <t>Vaseem Khan</t>
  </si>
  <si>
    <t>vaseemkhan.vk32@gmail.com</t>
  </si>
  <si>
    <t>Sahin</t>
  </si>
  <si>
    <t>nataliasahin@gmail.com</t>
  </si>
  <si>
    <t>Baha Eddin Abu khait</t>
  </si>
  <si>
    <t>bahabukhait@gmail.com</t>
  </si>
  <si>
    <t>Dhananjay Agarwal</t>
  </si>
  <si>
    <t>dhananjay.agarwal@hotmail.com</t>
  </si>
  <si>
    <t>Wael</t>
  </si>
  <si>
    <t>waelradi82@yahoo.com</t>
  </si>
  <si>
    <t>علي عبدالله عمر</t>
  </si>
  <si>
    <t>benamro39@gmail.com</t>
  </si>
  <si>
    <t>Eiliia Mousa</t>
  </si>
  <si>
    <t>eiliiamossad1@gmail.com</t>
  </si>
  <si>
    <t>MHD BASSAM KAHALEH</t>
  </si>
  <si>
    <t>bassamkahaleh@gmail.com</t>
  </si>
  <si>
    <t>Imad</t>
  </si>
  <si>
    <t>imad@safelinegc.com</t>
  </si>
  <si>
    <t>sami@ajmanmarkets.ae</t>
  </si>
  <si>
    <t>DAMAC ALA CARTE VILLA</t>
  </si>
  <si>
    <t>Ali Ganai</t>
  </si>
  <si>
    <t>aliganai@yahoo.co.in</t>
  </si>
  <si>
    <t>عبداللطيف الحمادي</t>
  </si>
  <si>
    <t>aaiaa1977ndc@gmail.com</t>
  </si>
  <si>
    <t>Sunil John</t>
  </si>
  <si>
    <t>john_sunil@hotmail.com</t>
  </si>
  <si>
    <t>حاتم</t>
  </si>
  <si>
    <t>hatemhasoon@gmial.com</t>
  </si>
  <si>
    <t>Ahmad Taha</t>
  </si>
  <si>
    <t>ahmadhtaha9@gmail.com</t>
  </si>
  <si>
    <t>Khaldoun</t>
  </si>
  <si>
    <t>k-kinaan@hotmail.com</t>
  </si>
  <si>
    <t>Ramiz Manoli</t>
  </si>
  <si>
    <t>ramiz.empee@gmail.com</t>
  </si>
  <si>
    <t>MOUTASIM FARAJ</t>
  </si>
  <si>
    <t>moutasimx@gmail.com</t>
  </si>
  <si>
    <t>farah rabaa</t>
  </si>
  <si>
    <t>farahrabaa9@gmail.com</t>
  </si>
  <si>
    <t>Ahd</t>
  </si>
  <si>
    <t>ahd_alshaheen@yahoo.com</t>
  </si>
  <si>
    <t>Pradeep Nagula</t>
  </si>
  <si>
    <t>pradeepnag20@gmail.com</t>
  </si>
  <si>
    <t>Mostafa Ibrahim</t>
  </si>
  <si>
    <t>mostafaomar1971@gmail.com</t>
  </si>
  <si>
    <t>Shady</t>
  </si>
  <si>
    <t>shadyazmy@hotmail.com</t>
  </si>
  <si>
    <t>نورالدين الرواسي</t>
  </si>
  <si>
    <t>alrwasy1111@gmail.com</t>
  </si>
  <si>
    <t>محمد محمود</t>
  </si>
  <si>
    <t>mmahmoud@ega.ae</t>
  </si>
  <si>
    <t>Mounir Taleb</t>
  </si>
  <si>
    <t>mounir_taleb@hotmail.com</t>
  </si>
  <si>
    <t>منيع زامل</t>
  </si>
  <si>
    <t>Mumu9111@yahoo.com</t>
  </si>
  <si>
    <t>Mohamed elbaz</t>
  </si>
  <si>
    <t>eng.md.elbaz12@gmail.com</t>
  </si>
  <si>
    <t>Lama Rahma-Lyk</t>
  </si>
  <si>
    <t>lamarahma3@yahoo.com</t>
  </si>
  <si>
    <t>محمد صالح برير</t>
  </si>
  <si>
    <t>maged.hamoud9@gmail.com</t>
  </si>
  <si>
    <t>Anas Sulaiman</t>
  </si>
  <si>
    <t>gm@ayavagroup.com</t>
  </si>
  <si>
    <t>Dina Boulos</t>
  </si>
  <si>
    <t>dinaboulos@gmail.com</t>
  </si>
  <si>
    <t>Jamal kassouma</t>
  </si>
  <si>
    <t>J.kassouma@gmail.com</t>
  </si>
  <si>
    <t>Anas</t>
  </si>
  <si>
    <t>mooshatianas@gmail.com</t>
  </si>
  <si>
    <t>Osama zein</t>
  </si>
  <si>
    <t>osama@scale-emw.net</t>
  </si>
  <si>
    <t>AmiraGhani</t>
  </si>
  <si>
    <t>muheebodah@yahoo.com</t>
  </si>
  <si>
    <t>Hasibullah Hakimy</t>
  </si>
  <si>
    <t>hakimyjubail@yahoo.com</t>
  </si>
  <si>
    <t>Bissan Carol</t>
  </si>
  <si>
    <t>bissan.k@hotmail.com</t>
  </si>
  <si>
    <t>Rasha</t>
  </si>
  <si>
    <t>rasha.alaileh@gmail.com</t>
  </si>
  <si>
    <t>Khaled Humaid Salem</t>
  </si>
  <si>
    <t>binbader@aol.com</t>
  </si>
  <si>
    <t>Umm Dalal</t>
  </si>
  <si>
    <t>l.alhumairi@gmail.com</t>
  </si>
  <si>
    <t>matthesketh1976@googlemail.com</t>
  </si>
  <si>
    <t>Dheeraj Bhatia</t>
  </si>
  <si>
    <t>ﭑﭑبہٰ۫و وجہٰ۫يہٰ۫ه 'ۦ'ۦ</t>
  </si>
  <si>
    <t>faramzo121@gmail.com</t>
  </si>
  <si>
    <t>ibr05055m@gmail.com</t>
  </si>
  <si>
    <t>Yassin</t>
  </si>
  <si>
    <t>yassinkf@gmail.com</t>
  </si>
  <si>
    <t>Eyad Amarat</t>
  </si>
  <si>
    <t>eyad.amarat@gmail.com</t>
  </si>
  <si>
    <t>محمد صبحي</t>
  </si>
  <si>
    <t>m61noor@yahoo.com</t>
  </si>
  <si>
    <t>Mona Khalil</t>
  </si>
  <si>
    <t>mona@ves.ae</t>
  </si>
  <si>
    <t>Haitham Seif</t>
  </si>
  <si>
    <t>Haithamseif@gmail.com</t>
  </si>
  <si>
    <t>Sameh</t>
  </si>
  <si>
    <t>samehselim2003@yahoo.com</t>
  </si>
  <si>
    <t>Ahmed Mahfouz</t>
  </si>
  <si>
    <t>ahmed_mahfouzz@hotmail.com</t>
  </si>
  <si>
    <t>Mohamed ali</t>
  </si>
  <si>
    <t>abu_hmaid111@hotmail.com</t>
  </si>
  <si>
    <t>لؤي سعيد</t>
  </si>
  <si>
    <t>Loai_s_s@hotmail.com</t>
  </si>
  <si>
    <t>Yam Benhari</t>
  </si>
  <si>
    <t>yamina.benhari@gmail.com</t>
  </si>
  <si>
    <t>Omar Javed Bhat</t>
  </si>
  <si>
    <t>omarbhat12@gmail.com</t>
  </si>
  <si>
    <t>Mona Ozi</t>
  </si>
  <si>
    <t>monaozwa@gmail.com</t>
  </si>
  <si>
    <t>Mubarak Alanbari</t>
  </si>
  <si>
    <t>beerelnahal@hotmail.com</t>
  </si>
  <si>
    <t>Neha Sharma</t>
  </si>
  <si>
    <t>neha02sharma@yahoo.com</t>
  </si>
  <si>
    <t>Fady Nabbout</t>
  </si>
  <si>
    <t>soula.hashwa@yahoo.com</t>
  </si>
  <si>
    <t>Salah Hassan</t>
  </si>
  <si>
    <t>sh40@cornell.edu</t>
  </si>
  <si>
    <t>Mehul Raichura</t>
  </si>
  <si>
    <t>mehulraichura@gmail.com</t>
  </si>
  <si>
    <t>Namrata Dandekar</t>
  </si>
  <si>
    <t>dear.namrata@gmail.com</t>
  </si>
  <si>
    <t>الظبي</t>
  </si>
  <si>
    <t>wad.592@hotmail.com</t>
  </si>
  <si>
    <t>Shoaib Khan</t>
  </si>
  <si>
    <t>khanshoaib011@gmail.com</t>
  </si>
  <si>
    <t>ام نجاح الحربي</t>
  </si>
  <si>
    <t>amshaalharbi73@gmail.com</t>
  </si>
  <si>
    <t>Zaheer Abbas</t>
  </si>
  <si>
    <t>zabbas64jb@gmail.com</t>
  </si>
  <si>
    <t>Abdelmajeed Zwairi</t>
  </si>
  <si>
    <t>anas@mhjheavyequipment.com</t>
  </si>
  <si>
    <t>Zahra</t>
  </si>
  <si>
    <t>bintezahra14@hotmail.com</t>
  </si>
  <si>
    <t>Damac Villa &amp; Townhouse</t>
  </si>
  <si>
    <t>Giresh</t>
  </si>
  <si>
    <t>cguyrich@yahoo.com</t>
  </si>
  <si>
    <t>Sara Berjawi</t>
  </si>
  <si>
    <t>sarahaya@hotmail.com</t>
  </si>
  <si>
    <t>palvish Patel</t>
  </si>
  <si>
    <t>palvishpatel1980@gmail.com</t>
  </si>
  <si>
    <t>Sandra Abou Assali</t>
  </si>
  <si>
    <t>Salem albuainain</t>
  </si>
  <si>
    <t>Facebook Lead Ads: damac-2.7m-hs-CH</t>
  </si>
  <si>
    <t>Ella Tsang</t>
  </si>
  <si>
    <t>حهاد</t>
  </si>
  <si>
    <t>Mohamed Elezbawy</t>
  </si>
  <si>
    <t>mya.azabawi@gmail.com</t>
  </si>
  <si>
    <t>Mohammad</t>
  </si>
  <si>
    <t>شلوان اليامي</t>
  </si>
  <si>
    <t>sha7575lwan@gmail.com</t>
  </si>
  <si>
    <t>مخلصة العلواني</t>
  </si>
  <si>
    <t>mokhlesa.alwani@gmail.com</t>
  </si>
  <si>
    <t>Abuu mujaahidi</t>
  </si>
  <si>
    <t>shekabdela2@gmail.com</t>
  </si>
  <si>
    <t>Daniela Junqueira</t>
  </si>
  <si>
    <t>dani.dj@hotmail.com</t>
  </si>
  <si>
    <t>Ahmad Arabieh</t>
  </si>
  <si>
    <t>ahmadarabieh.net@gmail.com</t>
  </si>
  <si>
    <t>Jad Al Qubati</t>
  </si>
  <si>
    <t>jadalqabati@gmail.com</t>
  </si>
  <si>
    <t>Samson Atanaruno</t>
  </si>
  <si>
    <t>kellywil560@gmail.com</t>
  </si>
  <si>
    <t>Rafeek Challangad</t>
  </si>
  <si>
    <t>rafeek@gulffruits.com</t>
  </si>
  <si>
    <t>خAلD</t>
  </si>
  <si>
    <t>k.238alhosani@gmail.com</t>
  </si>
  <si>
    <t>dr_snoopy_pharma@hotmail.com</t>
  </si>
  <si>
    <t>Maha Al Shuhail</t>
  </si>
  <si>
    <t>maha79@gmail.com</t>
  </si>
  <si>
    <t>Saad Al Husaiki</t>
  </si>
  <si>
    <t>this4me2014@gmail.com</t>
  </si>
  <si>
    <t>Enaam Alkhalifa</t>
  </si>
  <si>
    <t>enaam.alkhalifa@hotmail.com</t>
  </si>
  <si>
    <t>عبدالسلام الشناوى</t>
  </si>
  <si>
    <t>abdulsalam4004@gmail.com</t>
  </si>
  <si>
    <t>Waleed Alsobeaei</t>
  </si>
  <si>
    <t>gm4@sita-travel.net</t>
  </si>
  <si>
    <t>Facebook Lead Ads: HS_Damac Mega Event_LG_English_21July - 1 CUSTOM</t>
  </si>
  <si>
    <t>Luckey Yogi</t>
  </si>
  <si>
    <t>laxmannath00@gmail.com</t>
  </si>
  <si>
    <t>Karam Alawani</t>
  </si>
  <si>
    <t>karamss@hotmail.com</t>
  </si>
  <si>
    <t>Yinn yoyi</t>
  </si>
  <si>
    <t>yinn@hotmail.com</t>
  </si>
  <si>
    <t>Iyad</t>
  </si>
  <si>
    <t>iyadent@hotmail.com</t>
  </si>
  <si>
    <t>Oraib</t>
  </si>
  <si>
    <t>oraib.bustami@hotmail.com</t>
  </si>
  <si>
    <t>Sarkis Ghazaley</t>
  </si>
  <si>
    <t>sfg03@aub.edu.lb</t>
  </si>
  <si>
    <t>Muhammad Abdul Samad</t>
  </si>
  <si>
    <t>Muhammadabdul.samad@outlook.com</t>
  </si>
  <si>
    <t>Kinita Shah</t>
  </si>
  <si>
    <t>kinitamehta@gmail.com</t>
  </si>
  <si>
    <t>hamdan alraeesi</t>
  </si>
  <si>
    <t>hm-raeesi@hotmail.com</t>
  </si>
  <si>
    <t>Nicolas ghajar</t>
  </si>
  <si>
    <t>nghajar@almasarinvestments.ae</t>
  </si>
  <si>
    <t>John Smith</t>
  </si>
  <si>
    <t>john@aol.com</t>
  </si>
  <si>
    <t>Hicham</t>
  </si>
  <si>
    <t>hicham.auajjar@gmail.com</t>
  </si>
  <si>
    <t>Hamad Alameri</t>
  </si>
  <si>
    <t>ham.al3amri@gmail.com</t>
  </si>
  <si>
    <t>Walid</t>
  </si>
  <si>
    <t>walid.hizaoui1@gmail.com</t>
  </si>
  <si>
    <t>Pawan sharma</t>
  </si>
  <si>
    <t>pawanpks@rediffmail.com</t>
  </si>
  <si>
    <t>alialketbi39@gmail.com</t>
  </si>
  <si>
    <t>Rohan kapoor</t>
  </si>
  <si>
    <t>rohan.kapoor.1412@gmail.com</t>
  </si>
  <si>
    <t>Faisal</t>
  </si>
  <si>
    <t>faisalp5@yahoo.com</t>
  </si>
  <si>
    <t>Rohan</t>
  </si>
  <si>
    <t>rohan.golwalkar123@gmail.com</t>
  </si>
  <si>
    <t>Inga</t>
  </si>
  <si>
    <t>ingabush@hotmail.com</t>
  </si>
  <si>
    <t>Maitha Almheiri</t>
  </si>
  <si>
    <t>maitha.al.mehairi82@gmail.com</t>
  </si>
  <si>
    <t>Simay Demirci</t>
  </si>
  <si>
    <t>simaydlarry@hotmail.com</t>
  </si>
  <si>
    <t>Shamma</t>
  </si>
  <si>
    <t>shammo0oniie@gmail.com</t>
  </si>
  <si>
    <t>Leo Jacobs</t>
  </si>
  <si>
    <t>jacobsclaes@gmail.com</t>
  </si>
  <si>
    <t>Alfredo</t>
  </si>
  <si>
    <t>alfredo@claxitalia.com</t>
  </si>
  <si>
    <t>Saleem</t>
  </si>
  <si>
    <t>salimkasimdxb@gmail.com</t>
  </si>
  <si>
    <t>Asem</t>
  </si>
  <si>
    <t>asem.asmar@yahoo.com</t>
  </si>
  <si>
    <t>Melyn</t>
  </si>
  <si>
    <t>melynt.vios@gmail.com</t>
  </si>
  <si>
    <t>Afra</t>
  </si>
  <si>
    <t>afra.m13@hotmail.com</t>
  </si>
  <si>
    <t>Ismail Khan</t>
  </si>
  <si>
    <t>ismail.k087@gmail.com</t>
  </si>
  <si>
    <t>Arushi kataria</t>
  </si>
  <si>
    <t>arushi.kataria13@gmail.com</t>
  </si>
  <si>
    <t>Tarek</t>
  </si>
  <si>
    <t>tarekafouada@gmail.com</t>
  </si>
  <si>
    <t>Ali alshehhi</t>
  </si>
  <si>
    <t>alshe7i@msn.com</t>
  </si>
  <si>
    <t>Ahmed saeed</t>
  </si>
  <si>
    <t>ahmedalsuwaidi@yahoo.com</t>
  </si>
  <si>
    <t>Ziad</t>
  </si>
  <si>
    <t>taha77uk@hotmail.com</t>
  </si>
  <si>
    <t>elkallini@hotmail.com</t>
  </si>
  <si>
    <t>Jay Madlani</t>
  </si>
  <si>
    <t>jaymene@hotmail.com</t>
  </si>
  <si>
    <t>Farhan Khan</t>
  </si>
  <si>
    <t>farhankhan45675@gmail.com</t>
  </si>
  <si>
    <t>Mila Gurbanova</t>
  </si>
  <si>
    <t>luda.gurbfnova73@gmail.com</t>
  </si>
  <si>
    <t>Ménna Réda</t>
  </si>
  <si>
    <t>mredasaa@gmail.com</t>
  </si>
  <si>
    <t>Muhammad Abdullah</t>
  </si>
  <si>
    <t>abdullahrajput118@gmail.com</t>
  </si>
  <si>
    <t>Heidi Abdu</t>
  </si>
  <si>
    <t>hoda.heidi@gmail.com</t>
  </si>
  <si>
    <t>Ayham Albakoor</t>
  </si>
  <si>
    <t>bakoor_ayham@hotmail.com</t>
  </si>
  <si>
    <t>Bu66i</t>
  </si>
  <si>
    <t>bofatoom93@gmail.com</t>
  </si>
  <si>
    <t>Fady Jabbour</t>
  </si>
  <si>
    <t>fadyghassan22@gmail.com</t>
  </si>
  <si>
    <t>Facebook Lead Ads: damac-event 07192020</t>
  </si>
  <si>
    <t>Iftikhar ahmed Khan Khan</t>
  </si>
  <si>
    <t>iftikhar72khan@gmail.com</t>
  </si>
  <si>
    <t>Benouatai Abdellah</t>
  </si>
  <si>
    <t>benouatai1960@hotmail.com</t>
  </si>
  <si>
    <t>عذب المعاني</t>
  </si>
  <si>
    <t>saleha.uae@outlook.sa</t>
  </si>
  <si>
    <t>Mohammed Ali</t>
  </si>
  <si>
    <t>acmesg@gmail.com</t>
  </si>
  <si>
    <t>M Mohan Kaystha</t>
  </si>
  <si>
    <t>carbonnegativeelectricity@gmail.com</t>
  </si>
  <si>
    <t>Hammad Asghar Rizvi</t>
  </si>
  <si>
    <t>ham_riz@hotmail.com</t>
  </si>
  <si>
    <t>هيله الراشد الحميد</t>
  </si>
  <si>
    <t>heelh3@gmail.com</t>
  </si>
  <si>
    <t>Neeta Chakresh Bhandari</t>
  </si>
  <si>
    <t>chakresh.bhandari@gmail.com</t>
  </si>
  <si>
    <t>Christian Jansson</t>
  </si>
  <si>
    <t>cj.westblom@googlemail.com</t>
  </si>
  <si>
    <t>Asmaa Rak</t>
  </si>
  <si>
    <t>darine-lebenon-@hotmail.com</t>
  </si>
  <si>
    <t>Mohammad Khan</t>
  </si>
  <si>
    <t>subhani87@gmail.com</t>
  </si>
  <si>
    <t>Maria Najeeb</t>
  </si>
  <si>
    <t>marianajeeb1@hotmail.com</t>
  </si>
  <si>
    <t>Saif Saleh</t>
  </si>
  <si>
    <t>saifsaleh7@aol.com</t>
  </si>
  <si>
    <t>Omar Benaissa</t>
  </si>
  <si>
    <t>Vinoth Kannan</t>
  </si>
  <si>
    <t>vinothkamals@gmail.com</t>
  </si>
  <si>
    <t>Omar muhmaad</t>
  </si>
  <si>
    <t>omaralhamadi95@gmail.com</t>
  </si>
  <si>
    <t>مصعب الرشيد</t>
  </si>
  <si>
    <t>musab.sa78@gmail.com</t>
  </si>
  <si>
    <t>sana</t>
  </si>
  <si>
    <t>biz.marhabagroup@gmail.com</t>
  </si>
  <si>
    <t>niyomi.angel1997@gmail.com</t>
  </si>
  <si>
    <t>Zubair Jutt</t>
  </si>
  <si>
    <t>juttzubairjutt411@gmail.com</t>
  </si>
  <si>
    <t>ام عبدو النجار</t>
  </si>
  <si>
    <t>sshr9156@gmail.com</t>
  </si>
  <si>
    <t>ابو رشيده</t>
  </si>
  <si>
    <t>arby30748@gmail.com</t>
  </si>
  <si>
    <t>Daliaomar Leen</t>
  </si>
  <si>
    <t>daliaomarleen2007@icloud.com</t>
  </si>
  <si>
    <t>Mohammad Asim Al Kabeer Waleed Bin Qasim</t>
  </si>
  <si>
    <t>mohammadasimal.wbq@gmail.com</t>
  </si>
  <si>
    <t>Ayman Rayess</t>
  </si>
  <si>
    <t>ayman.rayess@gmail.com</t>
  </si>
  <si>
    <t>Muhammad arif salam</t>
  </si>
  <si>
    <t>urfi_mas@hotmail.com</t>
  </si>
  <si>
    <t>Hıba Esmaıl</t>
  </si>
  <si>
    <t>haldubaish@gmail.com</t>
  </si>
  <si>
    <t>bint.naqi@icloud.com</t>
  </si>
  <si>
    <t>Amit Arora</t>
  </si>
  <si>
    <t>amitarora1978@gmail.com</t>
  </si>
  <si>
    <t>Mike</t>
  </si>
  <si>
    <t>mphanlin88@yahoo.com</t>
  </si>
  <si>
    <t>Pedro Eusébio</t>
  </si>
  <si>
    <t>eusebio.pedro@gmail.com</t>
  </si>
  <si>
    <t>Edyta</t>
  </si>
  <si>
    <t>edyta.sieczkowska@vp.pl</t>
  </si>
  <si>
    <t>Munira Suleyman</t>
  </si>
  <si>
    <t>munirasuleyman@gmail.com</t>
  </si>
  <si>
    <t>Sama Seyid (sama@hsproperties.ae)</t>
  </si>
  <si>
    <t>Navin Gurdasani</t>
  </si>
  <si>
    <t>navingurdasani@gmail.com</t>
  </si>
  <si>
    <t>Nilesh Mepani</t>
  </si>
  <si>
    <t>nilesh@clevertrading.org</t>
  </si>
  <si>
    <t>Omprakash</t>
  </si>
  <si>
    <t>op.chouhan@gmail.com</t>
  </si>
  <si>
    <t>Girish</t>
  </si>
  <si>
    <t>girish@scuae.com</t>
  </si>
  <si>
    <t>Amlan</t>
  </si>
  <si>
    <t>Amlan.ib@gmail.com</t>
  </si>
  <si>
    <t>Claudine Ntoutoume Kamany</t>
  </si>
  <si>
    <t>ckamany@hotmail.com</t>
  </si>
  <si>
    <t>aamz76@hotmail.com</t>
  </si>
  <si>
    <t>Maria</t>
  </si>
  <si>
    <t>damngirl1@gmail.com</t>
  </si>
  <si>
    <t>hanen</t>
  </si>
  <si>
    <t>visionvoip2014@gmail.com</t>
  </si>
  <si>
    <t>Tarek Ghaleb</t>
  </si>
  <si>
    <t>tsadek@ghalebph.com</t>
  </si>
  <si>
    <t>Mayur</t>
  </si>
  <si>
    <t>mayur@yahoo.com</t>
  </si>
  <si>
    <t>Mohsin Sharif Raja</t>
  </si>
  <si>
    <t>mohsinraja80@yahoo.com</t>
  </si>
  <si>
    <t>Zaheer Hasnain</t>
  </si>
  <si>
    <t>zaheer@tritechuae.com</t>
  </si>
  <si>
    <t>Mohammad Fani</t>
  </si>
  <si>
    <t>moh.fani@yahoo.com</t>
  </si>
  <si>
    <t>Facebook Lead Ads: HS_Damac Mega Event_LG_English_20July</t>
  </si>
  <si>
    <t>Ashish Dhar</t>
  </si>
  <si>
    <t>ashish.dhar1974@yahoo.com</t>
  </si>
  <si>
    <t>ahmed_khashab@hotmail.com</t>
  </si>
  <si>
    <t>Sanjeev</t>
  </si>
  <si>
    <t>sanman1@eim.ae</t>
  </si>
  <si>
    <t>Maurizio Delia</t>
  </si>
  <si>
    <t>mau.delia@libero.it</t>
  </si>
  <si>
    <t>Shimshon Charikar</t>
  </si>
  <si>
    <t>chariker45@gmail.com</t>
  </si>
  <si>
    <t>Tarek Nour</t>
  </si>
  <si>
    <t>tareknour@fecosaudi.com</t>
  </si>
  <si>
    <t>Sadiqa Shakeel</t>
  </si>
  <si>
    <t>sadiqa_shakeel@yahoo.com</t>
  </si>
  <si>
    <t>Karamjeet</t>
  </si>
  <si>
    <t>karamjeethooda@gmail.com</t>
  </si>
  <si>
    <t>Osama</t>
  </si>
  <si>
    <t>dr.naja@gmail.com</t>
  </si>
  <si>
    <t>Assil Bittar Alsayed</t>
  </si>
  <si>
    <t>assiloun.b@hotmail.com</t>
  </si>
  <si>
    <t>Kim donghyun</t>
  </si>
  <si>
    <t>dh.kim@gi-logistic.com</t>
  </si>
  <si>
    <t>nadia._.chery</t>
  </si>
  <si>
    <t>nadia.labidi@dewa.gov.ae</t>
  </si>
  <si>
    <t>Suresh prajapati</t>
  </si>
  <si>
    <t>sureshprajapati607@gmail.com</t>
  </si>
  <si>
    <t>Fazal</t>
  </si>
  <si>
    <t>thetruthsquare@gmail.com</t>
  </si>
  <si>
    <t>Jimmyrf Wong</t>
  </si>
  <si>
    <t>jimmywcw388@gmail.com</t>
  </si>
  <si>
    <t>Mary Lee (mary@hsproperties.ae)</t>
  </si>
  <si>
    <t>aliimranceo@gmail.com</t>
  </si>
  <si>
    <t>Ali Ahmad</t>
  </si>
  <si>
    <t>aliahmad98@hotmail.com</t>
  </si>
  <si>
    <t>ربيع احمد خضر</t>
  </si>
  <si>
    <t>oshary1975camlin@gmail.com</t>
  </si>
  <si>
    <t>Ola Ra</t>
  </si>
  <si>
    <t>so_atractive.4ever@hotmail.com</t>
  </si>
  <si>
    <t>Ihab</t>
  </si>
  <si>
    <t>ihabkmoawad@yahoo.com</t>
  </si>
  <si>
    <t>mohammad sadiq</t>
  </si>
  <si>
    <t>mohammad_sadiq1981@yahoo.com</t>
  </si>
  <si>
    <t>Makki Bahaj</t>
  </si>
  <si>
    <t>bahajhamdbahaj@gmail.com</t>
  </si>
  <si>
    <t>Mustafa Omer</t>
  </si>
  <si>
    <t>mustafa.hashim.omer@gmail.com</t>
  </si>
  <si>
    <t>salem@sasintl.co</t>
  </si>
  <si>
    <t>Fadi N Amina Ayoubi</t>
  </si>
  <si>
    <t>fadi_ayoubi@hotmail.com</t>
  </si>
  <si>
    <t>Andrew</t>
  </si>
  <si>
    <t>andyc425@yahoo.co.uk</t>
  </si>
  <si>
    <t>Fatima zahra</t>
  </si>
  <si>
    <t>bengallou.fz@gmail.com</t>
  </si>
  <si>
    <t>Roma Lalwani</t>
  </si>
  <si>
    <t>angel_fairy3319@yahoo.com</t>
  </si>
  <si>
    <t>Fawaz hendieh</t>
  </si>
  <si>
    <t>fhendieh63@yahoo.com</t>
  </si>
  <si>
    <t>Sanjeev Malhotra</t>
  </si>
  <si>
    <t>الوردة الجوريه</t>
  </si>
  <si>
    <t>alia-1981@hotmail.com</t>
  </si>
  <si>
    <t>Nikhil Panigrahi</t>
  </si>
  <si>
    <t>nikhilpanigrahy@gmail.com</t>
  </si>
  <si>
    <t>ناصر الرفاعي</t>
  </si>
  <si>
    <t>naser.rifai@yahoo.com</t>
  </si>
  <si>
    <t>Ravi Agarwal</t>
  </si>
  <si>
    <t>ravi_agarwal5@hotmail.com</t>
  </si>
  <si>
    <t>ehejbd nsis</t>
  </si>
  <si>
    <t>bdisiehebb@aol.com</t>
  </si>
  <si>
    <t>Sofya</t>
  </si>
  <si>
    <t>sofia_st@rambler.ru</t>
  </si>
  <si>
    <t>Saif</t>
  </si>
  <si>
    <t>saifmeer92@gmail.com</t>
  </si>
  <si>
    <t>hzayani@alqadihospital.com</t>
  </si>
  <si>
    <t>خالداحمدالزهراني</t>
  </si>
  <si>
    <t>alkhalid377@gmail.com</t>
  </si>
  <si>
    <t>Vicky Tattar</t>
  </si>
  <si>
    <t>vickytattar18@gmail.com</t>
  </si>
  <si>
    <t>Atef</t>
  </si>
  <si>
    <t>atef-72@hotmail.com</t>
  </si>
  <si>
    <t>Hassan shaukat</t>
  </si>
  <si>
    <t>hassan.ayan.tr@gmail.com</t>
  </si>
  <si>
    <t>Khaled N. Dalloul</t>
  </si>
  <si>
    <t>khaled010858@hotmail.com</t>
  </si>
  <si>
    <t>Chongmix Chong</t>
  </si>
  <si>
    <t>chongmix55@gmail.com</t>
  </si>
  <si>
    <t>etharhom@hotmail.com</t>
  </si>
  <si>
    <t>Mr. Marketing</t>
  </si>
  <si>
    <t>firassabbass27@icloud.com</t>
  </si>
  <si>
    <t>حامد الضو ابو ايه</t>
  </si>
  <si>
    <t>hamdaldw806@gmail.com</t>
  </si>
  <si>
    <t>Shilpa Hingorani</t>
  </si>
  <si>
    <t>shilpa.khushalhingorani@yahoo.com</t>
  </si>
  <si>
    <t>Bianca Chan</t>
  </si>
  <si>
    <t>bianca310@hotmail.co.uk</t>
  </si>
  <si>
    <t>suisumsang@gmail.com</t>
  </si>
  <si>
    <t>B Madjid</t>
  </si>
  <si>
    <t>emveepifze@gmail.com</t>
  </si>
  <si>
    <t>Muhd</t>
  </si>
  <si>
    <t>emaratisuperstar@gmail.com</t>
  </si>
  <si>
    <t>Mohammed Bughadwala</t>
  </si>
  <si>
    <t>myb2152@gmail.com</t>
  </si>
  <si>
    <t>alshamsi.fa@gmail.com</t>
  </si>
  <si>
    <t>dheerub@hotmail.com</t>
  </si>
  <si>
    <t>Pradeep Verma</t>
  </si>
  <si>
    <t>pkverma2005@yahoo.com</t>
  </si>
  <si>
    <t>Shaswat Chamaria</t>
  </si>
  <si>
    <t>shaswatchamaria@gmail.com</t>
  </si>
  <si>
    <t>Nida</t>
  </si>
  <si>
    <t>nida@safetyuae.com</t>
  </si>
  <si>
    <t>Hassan Bagban</t>
  </si>
  <si>
    <t>hassanbagban@yahoo.com</t>
  </si>
  <si>
    <t>Anu</t>
  </si>
  <si>
    <t>anubhuti83@gmail.com</t>
  </si>
  <si>
    <t>Alain Abi Khalil</t>
  </si>
  <si>
    <t>alainabikhalil@gmail.com</t>
  </si>
  <si>
    <t>Damac 2.7 M</t>
  </si>
  <si>
    <t>Bonnie Lee</t>
  </si>
  <si>
    <t>bonnielee@live.ca</t>
  </si>
  <si>
    <t>Umran</t>
  </si>
  <si>
    <t>umransadiqqq@gmail.com</t>
  </si>
  <si>
    <t>Nagy Gorgeste</t>
  </si>
  <si>
    <t>nagy.ghanimeh@gmail.com</t>
  </si>
  <si>
    <t>Ameena Saeed</t>
  </si>
  <si>
    <t>ameena.juma754@gmail.com</t>
  </si>
  <si>
    <t>Rasha Hajj Hussein</t>
  </si>
  <si>
    <t>rasha00961@hotmail.com</t>
  </si>
  <si>
    <t>Fareeha Ameer</t>
  </si>
  <si>
    <t>dralam1982@hotmail.com</t>
  </si>
  <si>
    <t>Augustine Yue</t>
  </si>
  <si>
    <t>yueacf@yahoo.com</t>
  </si>
  <si>
    <t>Nithin Nandakumar</t>
  </si>
  <si>
    <t>nithin_kn2000@yahoo.co.in</t>
  </si>
  <si>
    <t>Rania El Sheimy</t>
  </si>
  <si>
    <t>relsheimy@gmail.com</t>
  </si>
  <si>
    <t>刘锡山</t>
  </si>
  <si>
    <t>liushan21845@gmail.com</t>
  </si>
  <si>
    <t>Mengli Zhu (meng@hsproperties.ae)</t>
  </si>
  <si>
    <t>Lee Annie Thomas</t>
  </si>
  <si>
    <t>lee8625@hotmail.com</t>
  </si>
  <si>
    <t>Wedad Elsanusi</t>
  </si>
  <si>
    <t>wedad_elsanusi@yahoo.com</t>
  </si>
  <si>
    <t>ابو حمد</t>
  </si>
  <si>
    <t>weely1010@gmail.com</t>
  </si>
  <si>
    <t>فايز سلعس</t>
  </si>
  <si>
    <t>slsfayz@gmail.com</t>
  </si>
  <si>
    <t>الحمدلله</t>
  </si>
  <si>
    <t>fatheyaz76@gmail.com</t>
  </si>
  <si>
    <t>Ms Suwaidi</t>
  </si>
  <si>
    <t>alsuwaidi654@gmail.com</t>
  </si>
  <si>
    <t>Alaa Azhary</t>
  </si>
  <si>
    <t>alaa.azhary@hotmail.com</t>
  </si>
  <si>
    <t>suwaid</t>
  </si>
  <si>
    <t>bumobark99@hotmail.com</t>
  </si>
  <si>
    <t>رشا العاني</t>
  </si>
  <si>
    <t>b.khaleje@gmail.com</t>
  </si>
  <si>
    <t>Vaibhav Malhotra</t>
  </si>
  <si>
    <t>vaibhavmalhotra211@gmail.com</t>
  </si>
  <si>
    <t>omar.benaissa1990@gmail.com</t>
  </si>
  <si>
    <t>Huma mansoor</t>
  </si>
  <si>
    <t>sweetgrapes20012002@hotmail.com</t>
  </si>
  <si>
    <t>Yaser Al-Dahoud</t>
  </si>
  <si>
    <t>aldahoud@yahoo.com</t>
  </si>
  <si>
    <t>Abo Hamza</t>
  </si>
  <si>
    <t>manalhasson@gmail.com</t>
  </si>
  <si>
    <t>Yuki Lang</t>
  </si>
  <si>
    <t>1075233bc@gmail.com</t>
  </si>
  <si>
    <t>Roger Harb</t>
  </si>
  <si>
    <t>harbroger@hotmail.com</t>
  </si>
  <si>
    <t>Anjali Awasthi</t>
  </si>
  <si>
    <t>parag.bhamre@gmail.com</t>
  </si>
  <si>
    <t>Nader Mustafa Abdel Bassit</t>
  </si>
  <si>
    <t>naderbassit@gmail.com</t>
  </si>
  <si>
    <t>mfm090@hotmail.com</t>
  </si>
  <si>
    <t>Vipin Viswanath</t>
  </si>
  <si>
    <t>vipinvnath@gmail.com</t>
  </si>
  <si>
    <t>Yashvardhan Singh Chauhan</t>
  </si>
  <si>
    <t>Charles Douglas</t>
  </si>
  <si>
    <t>charles_bnc@hotmail.com</t>
  </si>
  <si>
    <t>RSALUM AL KETANY</t>
  </si>
  <si>
    <t>rashadalketany1969@gmail.com</t>
  </si>
  <si>
    <t>ngg@emirates.net.ae</t>
  </si>
  <si>
    <t>Carlos Cabrera</t>
  </si>
  <si>
    <t>carloscabrerapalacios@hotmail.com</t>
  </si>
  <si>
    <t>ملك</t>
  </si>
  <si>
    <t>malakmarwan371@gamil.com</t>
  </si>
  <si>
    <t>Abdulsalam Thiyyattil</t>
  </si>
  <si>
    <t>almadina.properties@yahoo.com</t>
  </si>
  <si>
    <t>Parth Parikh</t>
  </si>
  <si>
    <t>parthparikh94@gmail.com</t>
  </si>
  <si>
    <t>Talal Akeil</t>
  </si>
  <si>
    <t>talal_akeil@yahoo.com</t>
  </si>
  <si>
    <t>Ahmed Hassan</t>
  </si>
  <si>
    <t>ahmed.hassan@galderma.com</t>
  </si>
  <si>
    <t>Amr Nasrallah</t>
  </si>
  <si>
    <t>kamatsho1@yahoo.com</t>
  </si>
  <si>
    <t>Chung Yun Peter Lam</t>
  </si>
  <si>
    <t>peterlamcy@gmail.com</t>
  </si>
  <si>
    <t>yasir</t>
  </si>
  <si>
    <t>yasir_jann@yahoo.com</t>
  </si>
  <si>
    <t>Hala Aboualhawa</t>
  </si>
  <si>
    <t>haboualhawa2017@gmail.com</t>
  </si>
  <si>
    <t>Rita Labidi</t>
  </si>
  <si>
    <t>rita.labidi@hotmail.fr</t>
  </si>
  <si>
    <t>Peter Ng</t>
  </si>
  <si>
    <t>whatnews@rogers.com</t>
  </si>
  <si>
    <t>doctormaryam1985@gmail.com</t>
  </si>
  <si>
    <t>ابو فراس</t>
  </si>
  <si>
    <t>khalid_th91@hotmail.com</t>
  </si>
  <si>
    <t>Nadi Gaya</t>
  </si>
  <si>
    <t>nadeeka.gayathrie@gmail.com</t>
  </si>
  <si>
    <t>Sylvia Georges</t>
  </si>
  <si>
    <t>sylviageorges@outlook.com</t>
  </si>
  <si>
    <t>Jonathan Norotsky</t>
  </si>
  <si>
    <t>ccfw20@aol.com</t>
  </si>
  <si>
    <t>Eqram Ahmadhi</t>
  </si>
  <si>
    <t>eqramahmadhi@gmail.com</t>
  </si>
  <si>
    <t>Hala Boukansoul</t>
  </si>
  <si>
    <t>hala.abukansoul@gmail.com</t>
  </si>
  <si>
    <t>Walaa Abu Farha</t>
  </si>
  <si>
    <t>walaa_abufarha@hotmail.com</t>
  </si>
  <si>
    <t>Mohd dalahmeh</t>
  </si>
  <si>
    <t>Naveed Shahzad</t>
  </si>
  <si>
    <t>ns_sindhu@yahoo.com</t>
  </si>
  <si>
    <t>Munazza Zafar</t>
  </si>
  <si>
    <t>munazzaz@aol.com</t>
  </si>
  <si>
    <t>Meriem Z. Bildsten</t>
  </si>
  <si>
    <t>merien.bildsten@gmail.com</t>
  </si>
  <si>
    <t>ahmed_w_engeniring@yahoo.com</t>
  </si>
  <si>
    <t>Bachar Hani</t>
  </si>
  <si>
    <t>bachar.hani@gmail.com</t>
  </si>
  <si>
    <t>Alya Boujemaa</t>
  </si>
  <si>
    <t>alya_benjema@yahoo.com</t>
  </si>
  <si>
    <t>Michael Kolta</t>
  </si>
  <si>
    <t>mdju@hotmail.com</t>
  </si>
  <si>
    <t>Elie Mousa</t>
  </si>
  <si>
    <t>hi_eley@hotmail.com</t>
  </si>
  <si>
    <t>り びん</t>
  </si>
  <si>
    <t>a110b110c110d110@126.com</t>
  </si>
  <si>
    <t>Jenny Zhu (jenny.zhu@hsproperties.ae)</t>
  </si>
  <si>
    <t>Ghariba</t>
  </si>
  <si>
    <t>ghariba.s@hotmail.com</t>
  </si>
  <si>
    <t>ahmedissa1963@yahoo.com</t>
  </si>
  <si>
    <t>s-almansouri@hotmail.com</t>
  </si>
  <si>
    <t>محسن علي الأركاني</t>
  </si>
  <si>
    <t>mohsen2013311@gmail.com</t>
  </si>
  <si>
    <t>محمد عبدالاله العيسائي</t>
  </si>
  <si>
    <t>mohamd225kk@gmail.com</t>
  </si>
  <si>
    <t>H Òödÿøó Harmonie</t>
  </si>
  <si>
    <t>moya223345@gmail.com</t>
  </si>
  <si>
    <t>ابوحسان ابوحسان</t>
  </si>
  <si>
    <t>r1410@hotmail.com</t>
  </si>
  <si>
    <t>Amin</t>
  </si>
  <si>
    <t>amin@ferrometal.ae</t>
  </si>
  <si>
    <t>AMir</t>
  </si>
  <si>
    <t>amir@eccopars.com</t>
  </si>
  <si>
    <t>Ali Mohamad</t>
  </si>
  <si>
    <t>ali.maania@gmail.com</t>
  </si>
  <si>
    <t>Paul</t>
  </si>
  <si>
    <t>dunstanr@eim.ae</t>
  </si>
  <si>
    <t>sam</t>
  </si>
  <si>
    <t>gm@stallionadv.com</t>
  </si>
  <si>
    <t>Odaoud75@gmail.com</t>
  </si>
  <si>
    <t>Farshad Bahmed</t>
  </si>
  <si>
    <t>farshadbahmed@gmail.com</t>
  </si>
  <si>
    <t>Omar alamri</t>
  </si>
  <si>
    <t>omar.alamri.adnoc.player_10@outlook.com</t>
  </si>
  <si>
    <t>bilalhawis@gmail.com</t>
  </si>
  <si>
    <t>Mohammad Kamran</t>
  </si>
  <si>
    <t>honestwateen@hotmail.com</t>
  </si>
  <si>
    <t>نعيم ابوفهد</t>
  </si>
  <si>
    <t>ams7416@gmail.com</t>
  </si>
  <si>
    <t>علي حدادي</t>
  </si>
  <si>
    <t>haddadi-3-t-1@hotmail.com</t>
  </si>
  <si>
    <t>柯富木</t>
  </si>
  <si>
    <t>kevinkok40@gmail.com</t>
  </si>
  <si>
    <t>Deactivated User (ying@hsproperties.ae)</t>
  </si>
  <si>
    <t>Facebook Lead Ads: damac-2.7m-hs-2</t>
  </si>
  <si>
    <t>Hamid Shah</t>
  </si>
  <si>
    <t>smocc_rb@yahoo.com</t>
  </si>
  <si>
    <t>محمد الحمرا</t>
  </si>
  <si>
    <t>abo_mahmod_95@hotmail.com</t>
  </si>
  <si>
    <t>Mahmoud Ashour</t>
  </si>
  <si>
    <t>hr.melsafey@gmail.com</t>
  </si>
  <si>
    <t>Tom Yun</t>
  </si>
  <si>
    <t>yuncanbec@hotmail.com</t>
  </si>
  <si>
    <t>Michel Constain</t>
  </si>
  <si>
    <t>constainm@gmail.com</t>
  </si>
  <si>
    <t>Sheikh Mohsin</t>
  </si>
  <si>
    <t>sheikhm284@gmail.com</t>
  </si>
  <si>
    <t>Ramy Bhandary</t>
  </si>
  <si>
    <t>rameshkaup@hotmail.com</t>
  </si>
  <si>
    <t>張毓山</t>
  </si>
  <si>
    <t>changys@ms9.hinet.net</t>
  </si>
  <si>
    <t>Samir Alshook</t>
  </si>
  <si>
    <t>samiralshook@gmail.com</t>
  </si>
  <si>
    <t>مفيد الحربي الحربي</t>
  </si>
  <si>
    <t>mufeed2251@gmail.com</t>
  </si>
  <si>
    <t>طلال خليل ابراهيم طلال</t>
  </si>
  <si>
    <t>tilal_khalil@yahoo.com</t>
  </si>
  <si>
    <t>Pasha Sadiq</t>
  </si>
  <si>
    <t>sadiq.pasha78680@gmail.com</t>
  </si>
  <si>
    <t>Amro Emad</t>
  </si>
  <si>
    <t>a.emad2016@hotmail.com</t>
  </si>
  <si>
    <t>Slim</t>
  </si>
  <si>
    <t>Saket Seth</t>
  </si>
  <si>
    <t>saketseth@hotmail.com</t>
  </si>
  <si>
    <t>Newport</t>
  </si>
  <si>
    <t>richard@mastercook.ae</t>
  </si>
  <si>
    <t>Hassan Mogal</t>
  </si>
  <si>
    <t>mogalhassan5@gmail.com</t>
  </si>
  <si>
    <t>Chong Vai Kuan</t>
  </si>
  <si>
    <t>chongvaikuan@hotmail.com</t>
  </si>
  <si>
    <t>Emma</t>
  </si>
  <si>
    <t>whathefuck@yahoo.com</t>
  </si>
  <si>
    <t>Helen Lau</t>
  </si>
  <si>
    <t>yungkiu57@gmail.com</t>
  </si>
  <si>
    <t>alsarriuae@yahoo.com</t>
  </si>
  <si>
    <t>Bilal Husian</t>
  </si>
  <si>
    <t>bilalje340@gmail.com</t>
  </si>
  <si>
    <t>Dramir Tyagi</t>
  </si>
  <si>
    <t>tyagidramir@gmail.com</t>
  </si>
  <si>
    <t>liang</t>
  </si>
  <si>
    <t>lz181220079@gmail.com</t>
  </si>
  <si>
    <t>RAJ</t>
  </si>
  <si>
    <t>rcp1828@yahoo.com</t>
  </si>
  <si>
    <t>محمدالفقية</t>
  </si>
  <si>
    <t>mwmw2009@live.com</t>
  </si>
  <si>
    <t>مهند كاترينك</t>
  </si>
  <si>
    <t>mohnnaddaralsharaq@gmail.com</t>
  </si>
  <si>
    <t>Raja Halazon</t>
  </si>
  <si>
    <t>rhalazon@gmail.com</t>
  </si>
  <si>
    <t>Souhila Garnier</t>
  </si>
  <si>
    <t>souhila.garnier@gmail.com</t>
  </si>
  <si>
    <t>Mohammed Shariful Islam</t>
  </si>
  <si>
    <t>sharif_gulf@hotmail.com</t>
  </si>
  <si>
    <t>A</t>
  </si>
  <si>
    <t>someone@something.com</t>
  </si>
  <si>
    <t>Masood Mir</t>
  </si>
  <si>
    <t>masood.rafiq10@gmail.com</t>
  </si>
  <si>
    <t>ali alhashme</t>
  </si>
  <si>
    <t>alia44645@gmail.com</t>
  </si>
  <si>
    <t>محمد الفقية</t>
  </si>
  <si>
    <t>mariam</t>
  </si>
  <si>
    <t>mariam.alq@hotmail.com</t>
  </si>
  <si>
    <t>MOHAMMED A YUSUF</t>
  </si>
  <si>
    <t>mohyusufus@yahoo.com</t>
  </si>
  <si>
    <t>Amr Alshafei</t>
  </si>
  <si>
    <t>amr_alshfei@hotmail.com</t>
  </si>
  <si>
    <t>Shakeel Shaikh</t>
  </si>
  <si>
    <t>shaikhshakeel@yahoo.com</t>
  </si>
  <si>
    <t>Khaled dabaan</t>
  </si>
  <si>
    <t>kd@gammauae.net</t>
  </si>
  <si>
    <t>Humaid</t>
  </si>
  <si>
    <t>humaid51001@gmail.com</t>
  </si>
  <si>
    <t>banawyab@yahoo.com</t>
  </si>
  <si>
    <t>حمدان الحميدي</t>
  </si>
  <si>
    <t>hmdanalmafya@gmail.com</t>
  </si>
  <si>
    <t>Anna Gonzales</t>
  </si>
  <si>
    <t>japs190501@yahoo.com</t>
  </si>
  <si>
    <t>Mau Mau Keung Chan</t>
  </si>
  <si>
    <t>chanmaukeung@gmail.com</t>
  </si>
  <si>
    <t>Muhib Odeh</t>
  </si>
  <si>
    <t>موسى</t>
  </si>
  <si>
    <t>simo-mosa@hotmail.com</t>
  </si>
  <si>
    <t>Zafar Sabri</t>
  </si>
  <si>
    <t>zafarsabri1972@gmail.com</t>
  </si>
  <si>
    <t>何溢</t>
  </si>
  <si>
    <t>www.yatho@yahoo.com</t>
  </si>
  <si>
    <t>Faizah Al Mohana</t>
  </si>
  <si>
    <t>foz.sad.s@gmail.com</t>
  </si>
  <si>
    <t>Muhammad Zaheer</t>
  </si>
  <si>
    <t>zaheerko@yahoo.com</t>
  </si>
  <si>
    <t>Ajay Mishra</t>
  </si>
  <si>
    <t>ajaymishra.ib@gmail.com</t>
  </si>
  <si>
    <t>Jehan</t>
  </si>
  <si>
    <t>jihan.uae@gmail.com</t>
  </si>
  <si>
    <t>salam pappinissery</t>
  </si>
  <si>
    <t>salamadv@gmail.com</t>
  </si>
  <si>
    <t>Yasser Mehboob</t>
  </si>
  <si>
    <t>yabbasitain@gmail.com</t>
  </si>
  <si>
    <t>Yyy</t>
  </si>
  <si>
    <t>huhu@hotmail.com</t>
  </si>
  <si>
    <t>Ana</t>
  </si>
  <si>
    <t>anamincic@hotmail.com</t>
  </si>
  <si>
    <t>Facebook Lead Ads: damac-1.6m-hs-2</t>
  </si>
  <si>
    <t>Omar Al Shalabi</t>
  </si>
  <si>
    <t>kullak7elow@yahoo.com</t>
  </si>
  <si>
    <t>Mike Chan</t>
  </si>
  <si>
    <t>laugfhing6699@gmail.com</t>
  </si>
  <si>
    <t>Fouad</t>
  </si>
  <si>
    <t>fouad.zeidan@hotmail.com</t>
  </si>
  <si>
    <t>ماجد سعد العمري</t>
  </si>
  <si>
    <t>riyadh.k.o@hotmail.com</t>
  </si>
  <si>
    <t>عوض مهدي</t>
  </si>
  <si>
    <t>awad-arg@hotmail.com</t>
  </si>
  <si>
    <t>Hind</t>
  </si>
  <si>
    <t>hs.binsulaiman@gmail.com</t>
  </si>
  <si>
    <t>Wilson Pang</t>
  </si>
  <si>
    <t>105wilsonpang@gmail.com</t>
  </si>
  <si>
    <t>Calvin Sin</t>
  </si>
  <si>
    <t>calvinsin99@hotmail.com</t>
  </si>
  <si>
    <t>Nada Shocair</t>
  </si>
  <si>
    <t>nshocair05@gmail.com</t>
  </si>
  <si>
    <t>Chiha Lee</t>
  </si>
  <si>
    <t>chihalee0429@gmail.com</t>
  </si>
  <si>
    <t>owopetu Simon femi</t>
  </si>
  <si>
    <t>owopetu8@gmail.com</t>
  </si>
  <si>
    <t>Facebook Lead Ads: damac-openhouse-6272020</t>
  </si>
  <si>
    <t>Tabassum Meenai</t>
  </si>
  <si>
    <t>tabz_m@hotmail.com</t>
  </si>
  <si>
    <t>Rabab Al Rayes ا</t>
  </si>
  <si>
    <t>rabab_alrayes1@hotmail.com</t>
  </si>
  <si>
    <t>Ak Ahamed</t>
  </si>
  <si>
    <t>akammad@gmail.com</t>
  </si>
  <si>
    <t>Zeid</t>
  </si>
  <si>
    <t>zeid.saeed555@gmail.com</t>
  </si>
  <si>
    <t>Abeera</t>
  </si>
  <si>
    <t>drabeerafaizal@yahoo.com</t>
  </si>
  <si>
    <t>tarek.kaddoymi@gmail.com</t>
  </si>
  <si>
    <t>sami_syed@hotmail.com</t>
  </si>
  <si>
    <t>Amal yassone</t>
  </si>
  <si>
    <t>yassinamal@gmail.com</t>
  </si>
  <si>
    <t>Omar Nassar</t>
  </si>
  <si>
    <t>omar@nrtcgroup.com</t>
  </si>
  <si>
    <t>Ayiesha</t>
  </si>
  <si>
    <t>ayiesha666almnhil@gmail.com</t>
  </si>
  <si>
    <t>saeedsalemsr@hotmail.com</t>
  </si>
  <si>
    <t>Shahul M</t>
  </si>
  <si>
    <t>shahulm78@gmail.com</t>
  </si>
  <si>
    <t>Ali Shabaz</t>
  </si>
  <si>
    <t>sak84@hotmail.com</t>
  </si>
  <si>
    <t>Sarfaraz Bashir</t>
  </si>
  <si>
    <t>chiffi_m@yahoo.com</t>
  </si>
  <si>
    <t>Jamal Dasan</t>
  </si>
  <si>
    <t>jdassan@hotmail.com</t>
  </si>
  <si>
    <t>Ahmad Sarah</t>
  </si>
  <si>
    <t>ahmad.sarah1956@gmail.com</t>
  </si>
  <si>
    <t>Arti Madhav</t>
  </si>
  <si>
    <t>sak2205@yahoo.com</t>
  </si>
  <si>
    <t>Lebenn Jamess</t>
  </si>
  <si>
    <t>leabenjames@gmail.com</t>
  </si>
  <si>
    <t>Gary Yeung：</t>
  </si>
  <si>
    <t>gary_yeung@hotmail.com</t>
  </si>
  <si>
    <t>Ala</t>
  </si>
  <si>
    <t>ala.w.almasri@gmail.com</t>
  </si>
  <si>
    <t>Awad</t>
  </si>
  <si>
    <t>afaf.afana71@gmail.com</t>
  </si>
  <si>
    <t>eng.alaamohamed@gmail.com</t>
  </si>
  <si>
    <t>Lee</t>
  </si>
  <si>
    <t>evansandrewlee@icloud.com</t>
  </si>
  <si>
    <t>e77_77@hotmail.com</t>
  </si>
  <si>
    <t>Zuike David</t>
  </si>
  <si>
    <t>davideze485@gmail.com</t>
  </si>
  <si>
    <t>محمد علي ميان</t>
  </si>
  <si>
    <t>zxcvb600001@gmail.com</t>
  </si>
  <si>
    <t>Facebook Lead Ads: damac-2.7m-hs</t>
  </si>
  <si>
    <t>Nabil saflou</t>
  </si>
  <si>
    <t>ceo@nmsgroup.ae</t>
  </si>
  <si>
    <t>Syed Naqvi</t>
  </si>
  <si>
    <t>seanaqvi@hotmail.com</t>
  </si>
  <si>
    <t>Ahmed yahya altakroni</t>
  </si>
  <si>
    <t>onair@jsm.org</t>
  </si>
  <si>
    <t>Salem Almashjari</t>
  </si>
  <si>
    <t>mashjari500@gmail.com</t>
  </si>
  <si>
    <t>Kash Rafique</t>
  </si>
  <si>
    <t>kashifziarafique@hotmail.com</t>
  </si>
  <si>
    <t>Yousif</t>
  </si>
  <si>
    <t>khoory1234@yahoo.com</t>
  </si>
  <si>
    <t>Lulu Lulu</t>
  </si>
  <si>
    <t>marielouisehamouch@hotmail.com</t>
  </si>
  <si>
    <t>Facebook Lead Ads: damac-1.6m-hs</t>
  </si>
  <si>
    <t>AbdulQader Al Awadhi</t>
  </si>
  <si>
    <t>ab.ramkooni@gmail.com</t>
  </si>
  <si>
    <t>Sheila Duff Earles</t>
  </si>
  <si>
    <t>sheilaearles@yahoo.co.uk</t>
  </si>
  <si>
    <t>Umita</t>
  </si>
  <si>
    <t>umita75@gmail.com</t>
  </si>
  <si>
    <t>Sheng Chen</t>
  </si>
  <si>
    <t>cjimmy666@gmail.com</t>
  </si>
  <si>
    <t>Broocks</t>
  </si>
  <si>
    <t>sandrine.broocks@yahoo.fr</t>
  </si>
  <si>
    <t>Subul</t>
  </si>
  <si>
    <t>subulsyed@hotmail.com</t>
  </si>
  <si>
    <t>Jennefer</t>
  </si>
  <si>
    <t>gonzalesjhenny39@gmail.com</t>
  </si>
  <si>
    <t>saeed almansoori</t>
  </si>
  <si>
    <t>ms_maqweeen@hotmail.com</t>
  </si>
  <si>
    <t>Siham Aqel</t>
  </si>
  <si>
    <t>sihamaqel3@gmail.com</t>
  </si>
  <si>
    <t>sammust110@yahoo.com</t>
  </si>
  <si>
    <t>Murtuza Doriwala</t>
  </si>
  <si>
    <t>msdoriwala@yahoo.co.uk</t>
  </si>
  <si>
    <t>Muhammad Amin</t>
  </si>
  <si>
    <t>muhammadamin11@gmail.com</t>
  </si>
  <si>
    <t>Jobie Limbaco</t>
  </si>
  <si>
    <t>jobilita@yahoo.com</t>
  </si>
  <si>
    <t>Damac Hills</t>
  </si>
  <si>
    <t>Walid Shehata</t>
  </si>
  <si>
    <t>Ashwani Swami</t>
  </si>
  <si>
    <t>ashwinoperationsuae@gmail.com</t>
  </si>
  <si>
    <t>Yousif Mohammed</t>
  </si>
  <si>
    <t>yousif.m.dossari@hotmail.com</t>
  </si>
  <si>
    <t>Mohamed Abdulaziz</t>
  </si>
  <si>
    <t>mohamed06@gmail.com</t>
  </si>
  <si>
    <t>hs38383@gmail.com</t>
  </si>
  <si>
    <t>Majid Al-Ali</t>
  </si>
  <si>
    <t>majidbinmasoud@gmail.com</t>
  </si>
  <si>
    <t>Goh Wooi Cheat</t>
  </si>
  <si>
    <t>wooicheat_goh@yahoo.com.sg</t>
  </si>
  <si>
    <t>Muhammad Arsalan</t>
  </si>
  <si>
    <t>Eimi.dare@gmail.com</t>
  </si>
  <si>
    <t>Moutaz Alnairab</t>
  </si>
  <si>
    <t>mo3tazyn@gmail.com</t>
  </si>
  <si>
    <t>Babu Oommen</t>
  </si>
  <si>
    <t>oommenbabu@hotmail.com</t>
  </si>
  <si>
    <t>nick barratt</t>
  </si>
  <si>
    <t>nick.barratt@gmail.com</t>
  </si>
  <si>
    <t>Marco Oleotto</t>
  </si>
  <si>
    <t>marco.oleotto@gmail.com</t>
  </si>
  <si>
    <t>abdu basith</t>
  </si>
  <si>
    <t>mamicni@eim.ae</t>
  </si>
  <si>
    <t>ADINARAYANAMURTHY</t>
  </si>
  <si>
    <t>mjpgg9@gmail.com</t>
  </si>
  <si>
    <t>Ismail</t>
  </si>
  <si>
    <t>ismail.sidiya@gmail.com</t>
  </si>
  <si>
    <t>Sau dn</t>
  </si>
  <si>
    <t>iamsaudin@gmail.com</t>
  </si>
  <si>
    <t>safeerart1@gmail.com</t>
  </si>
  <si>
    <t>Fayçal Aouij</t>
  </si>
  <si>
    <t>faycal.aouij@yahoo.fr</t>
  </si>
  <si>
    <t>Muhammed Noufel</t>
  </si>
  <si>
    <t>mnoufel@slt-g.com</t>
  </si>
  <si>
    <t>Jessica San Jose Donair (jessica@hsproperties.ae)</t>
  </si>
  <si>
    <t>Henna Jaya</t>
  </si>
  <si>
    <t>hennajaya12@gmail.com</t>
  </si>
  <si>
    <t>Farida Shabbir</t>
  </si>
  <si>
    <t>shabfar2010@gmail.com</t>
  </si>
  <si>
    <t>Jitendar Kumar</t>
  </si>
  <si>
    <t>jpayal2000@yahoo.com</t>
  </si>
  <si>
    <t>Majdi Aldbeisi</t>
  </si>
  <si>
    <t>majdi.al@hotmail.com</t>
  </si>
  <si>
    <t>Ola Aboud</t>
  </si>
  <si>
    <t>olaaboud@hotmail.com</t>
  </si>
  <si>
    <t>Hai Pham</t>
  </si>
  <si>
    <t>howdyhai2000@yahoo.com</t>
  </si>
  <si>
    <t>Miss s</t>
  </si>
  <si>
    <t>sh-f-q@hotmail.com</t>
  </si>
  <si>
    <t>ARIF MAHMOOD</t>
  </si>
  <si>
    <t>Grace Tonneca</t>
  </si>
  <si>
    <t>graceton@aol.com</t>
  </si>
  <si>
    <t>Muhammad Aamir Awan</t>
  </si>
  <si>
    <t>vestal40@hotmail.com</t>
  </si>
  <si>
    <t>Sabha</t>
  </si>
  <si>
    <t>umhamad445@gmail.com</t>
  </si>
  <si>
    <t>Ammar Al Hasan</t>
  </si>
  <si>
    <t>a.alhasan89@gmail.com</t>
  </si>
  <si>
    <t>Fess</t>
  </si>
  <si>
    <t>fais4204life@icloud.com</t>
  </si>
  <si>
    <t>Saidur Rahaman Sayeed</t>
  </si>
  <si>
    <t>saidrahaman58@gmail.com</t>
  </si>
  <si>
    <t>Vivian Chew</t>
  </si>
  <si>
    <t>catfollowmope@yahoo.com</t>
  </si>
  <si>
    <t>Dr SALEM ALAMERI</t>
  </si>
  <si>
    <t>salem.h.alameri@hotmail.com</t>
  </si>
  <si>
    <t>Shanavas Sanith</t>
  </si>
  <si>
    <t>sanithmos@yahoo.com</t>
  </si>
  <si>
    <t>Mohammed Ramzan</t>
  </si>
  <si>
    <t>ramzanmoh23@gmail.com</t>
  </si>
  <si>
    <t>Prakash</t>
  </si>
  <si>
    <t>naina_tiwari@outlook.com</t>
  </si>
  <si>
    <t>shameena</t>
  </si>
  <si>
    <t>chemshm@gmail.com</t>
  </si>
  <si>
    <t>Najeem Thajudeen</t>
  </si>
  <si>
    <t>najeemthajudeen@outlook.com</t>
  </si>
  <si>
    <t>Syed Navaid Muzaffar</t>
  </si>
  <si>
    <t>navs76@ymail.com</t>
  </si>
  <si>
    <t>Mohammad Azam</t>
  </si>
  <si>
    <t>esam4907@gmail.com</t>
  </si>
  <si>
    <t>Sunder Bir</t>
  </si>
  <si>
    <t>bctsunderbir@gmail.com</t>
  </si>
  <si>
    <t>Jordan Thia</t>
  </si>
  <si>
    <t>jordanthia@gmail.com</t>
  </si>
  <si>
    <t>Shakeel Khan</t>
  </si>
  <si>
    <t>shakeelmri@yahoo.com</t>
  </si>
  <si>
    <t>Chan Tom</t>
  </si>
  <si>
    <t>tom1one35@gmail.com</t>
  </si>
  <si>
    <t>waleed_imam@yahoo.com</t>
  </si>
  <si>
    <t>Andrea Cristina Longdon</t>
  </si>
  <si>
    <t>ac_blue03@yahoo.com</t>
  </si>
  <si>
    <t>Damac HIlls</t>
  </si>
  <si>
    <t>Hassaan Nizami</t>
  </si>
  <si>
    <t>Anita Punit Karani</t>
  </si>
  <si>
    <t>anitano1@hotmail.com</t>
  </si>
  <si>
    <t>Ibrahim Thayyil</t>
  </si>
  <si>
    <t>aakibrahim@gmail.com</t>
  </si>
  <si>
    <t>Ricky Lopez</t>
  </si>
  <si>
    <t>ricky@barmccgroup.com</t>
  </si>
  <si>
    <t>Sajila Mohammed</t>
  </si>
  <si>
    <t>sajisakkalifara@gmail.com</t>
  </si>
  <si>
    <t>Kate</t>
  </si>
  <si>
    <t>kate.jolly@icloud.com</t>
  </si>
  <si>
    <t>Damac GRP</t>
  </si>
  <si>
    <t>Sneha Dhuri</t>
  </si>
  <si>
    <t>sneha_dhuri2006@yahoo.com</t>
  </si>
  <si>
    <t>Kashish Gagwani</t>
  </si>
  <si>
    <t>kashishs.gagwani@gmail.com</t>
  </si>
  <si>
    <t>Babita Digari</t>
  </si>
  <si>
    <t>babitadigari@outlook.com</t>
  </si>
  <si>
    <t>Mohammed Abrar</t>
  </si>
  <si>
    <t>mohammedabrara@gmail.com</t>
  </si>
  <si>
    <t>Mubasher Malik</t>
  </si>
  <si>
    <t>malik_emirates@yahoo.com</t>
  </si>
  <si>
    <t>Tagwai Aji</t>
  </si>
  <si>
    <t>vowia@yahoo.com</t>
  </si>
  <si>
    <t>Nicvan Josh</t>
  </si>
  <si>
    <t>nicvanjosh@gmail.com</t>
  </si>
  <si>
    <t>Binny Khurana Anand</t>
  </si>
  <si>
    <t>binnykhurana0@gmail.com</t>
  </si>
  <si>
    <t>Ahmed Mohammed Basha Almutawakel</t>
  </si>
  <si>
    <t>am.albasha@gmail.com</t>
  </si>
  <si>
    <t>Jude Rommel Espineli Rasco</t>
  </si>
  <si>
    <t>rommelrasco@gmail.com</t>
  </si>
  <si>
    <t>Moatassim Shakhtouri</t>
  </si>
  <si>
    <t>blackmonster_2002@hotmail.com</t>
  </si>
  <si>
    <t>Simonz Chan</t>
  </si>
  <si>
    <t>simonzchan1965@gmail.com</t>
  </si>
  <si>
    <t>Fazil</t>
  </si>
  <si>
    <t>raneeshaasharaf@gmail.com</t>
  </si>
  <si>
    <t>Lakshman Dias Gunaratne</t>
  </si>
  <si>
    <t>lass2001@hotmail.com</t>
  </si>
  <si>
    <t>Facebook Lead Ads: HS_DAMAC GRP_LG_English_31May_NEW</t>
  </si>
  <si>
    <t>Sayed Faisal</t>
  </si>
  <si>
    <t>sayedfaisal1682@gmail.com</t>
  </si>
  <si>
    <t>Richard Lim</t>
  </si>
  <si>
    <t>richardblim@hotmail.com</t>
  </si>
  <si>
    <t>Mohammed Manzoor</t>
  </si>
  <si>
    <t>eng.manzoor123@gmail.com</t>
  </si>
  <si>
    <t>MJ Olami</t>
  </si>
  <si>
    <t>michaelgbenoba@yahoo.com</t>
  </si>
  <si>
    <t>Melanie Pring</t>
  </si>
  <si>
    <t>melaniepring@yahoo.com</t>
  </si>
  <si>
    <t>hassaannizami@gmail.com</t>
  </si>
  <si>
    <t>Naeem Ahmad Changezi</t>
  </si>
  <si>
    <t>avignon.kw@gmail.com</t>
  </si>
  <si>
    <t>Bhuvana Purushothaman</t>
  </si>
  <si>
    <t>visionarybruce@gmail.com</t>
  </si>
  <si>
    <t>Hi</t>
  </si>
  <si>
    <t>hollanduae@hotmail.com</t>
  </si>
  <si>
    <t>Moiz Vahanvaty</t>
  </si>
  <si>
    <t>moiez@hotmail.com</t>
  </si>
  <si>
    <t>Kumar Santha</t>
  </si>
  <si>
    <t>kumar65745@gmail.com</t>
  </si>
  <si>
    <t>khalid</t>
  </si>
  <si>
    <t>khalid_alzeer@hotmail.com</t>
  </si>
  <si>
    <t>Faiza El-Gohary</t>
  </si>
  <si>
    <t>elgoharyf@gmail.com</t>
  </si>
  <si>
    <t>Prive Business bay</t>
  </si>
  <si>
    <t>Amar Amarnath</t>
  </si>
  <si>
    <t>amar.ds.amar@gmail.com</t>
  </si>
  <si>
    <t>Ahmed Ali</t>
  </si>
  <si>
    <t>foalameri@gmail.com</t>
  </si>
  <si>
    <t>Abolfazl Naeini</t>
  </si>
  <si>
    <t>aghanbari74@yahoo.com</t>
  </si>
  <si>
    <t>Manar Aldaradkah</t>
  </si>
  <si>
    <t>mohd.bostaji@emirates.com</t>
  </si>
  <si>
    <t>Basheer Mohammed (basheeruddin@hsproperties.ae)</t>
  </si>
  <si>
    <t>Aboo Sidiq</t>
  </si>
  <si>
    <t>absidiq@eim.ae</t>
  </si>
  <si>
    <t>Souhila Djerah</t>
  </si>
  <si>
    <t>s.djerah@yahoo.com</t>
  </si>
  <si>
    <t>Prince Pastor Richard</t>
  </si>
  <si>
    <t>lufulwaboprincerichard@gmail.com</t>
  </si>
  <si>
    <t>Mustafa Mari</t>
  </si>
  <si>
    <t>mhmari@hotmail.com</t>
  </si>
  <si>
    <t>Qamar Saada</t>
  </si>
  <si>
    <t>qamarsaada@hotmail.com</t>
  </si>
  <si>
    <t>Ravikant Sinha</t>
  </si>
  <si>
    <t>rkpsinha14@yahoo.co.in</t>
  </si>
  <si>
    <t>Yasser Mahmood</t>
  </si>
  <si>
    <t>mahmood.yasser@gmail.com</t>
  </si>
  <si>
    <t>Mir Ashraf Ali</t>
  </si>
  <si>
    <t>mirashrafali387@gmail.com</t>
  </si>
  <si>
    <t>Faraz Hakim</t>
  </si>
  <si>
    <t>farazhakim@gmail.com</t>
  </si>
  <si>
    <t>Elaine Estrella-Lapierre</t>
  </si>
  <si>
    <t>elaine_estrella@yahoo.com</t>
  </si>
  <si>
    <t>AKOYA - DAMAC</t>
  </si>
  <si>
    <t>Mohsen Alharithy</t>
  </si>
  <si>
    <t>mohsenalharith@yahoo.com</t>
  </si>
  <si>
    <t>Arif Mustafa</t>
  </si>
  <si>
    <t>arifmustafa@yahoo.com</t>
  </si>
  <si>
    <t>Bilal Omar Huniti</t>
  </si>
  <si>
    <t>huniti_77@yahoo.com</t>
  </si>
  <si>
    <t>Rajesh Natarajan</t>
  </si>
  <si>
    <t>rajesh76natarajan@gmail.com</t>
  </si>
  <si>
    <t>Masud Peerzada</t>
  </si>
  <si>
    <t>masud7@mail.ru</t>
  </si>
  <si>
    <t>Qais</t>
  </si>
  <si>
    <t>qaisshawwa@yahoo.com</t>
  </si>
  <si>
    <t>Eldhose Joseph</t>
  </si>
  <si>
    <t>eldhoseco@gmail.com</t>
  </si>
  <si>
    <t>John Mickey Clark</t>
  </si>
  <si>
    <t>jmclark59@msn.com</t>
  </si>
  <si>
    <t>Abdulrahman Binaftan</t>
  </si>
  <si>
    <t>a.binaftan@gmail.com</t>
  </si>
  <si>
    <t>Arhum Shakeel</t>
  </si>
  <si>
    <t>shakeelrani4@gmail.com</t>
  </si>
  <si>
    <t>Johar Hussain</t>
  </si>
  <si>
    <t>joharabdo@gmail.com</t>
  </si>
  <si>
    <t>Naeem Rasool</t>
  </si>
  <si>
    <t>naeem@hmmc-sa.com</t>
  </si>
  <si>
    <t>Huzaifa Saif</t>
  </si>
  <si>
    <t>huzsaif@gmail.com</t>
  </si>
  <si>
    <t>ابو الحسن خضير</t>
  </si>
  <si>
    <t>ali-2014555@hotmeil.com</t>
  </si>
  <si>
    <t>Ameen Alsaleem</t>
  </si>
  <si>
    <t>drameenalsaleem@gmail.com</t>
  </si>
  <si>
    <t>Usman Ayub</t>
  </si>
  <si>
    <t>usman.ayub1003@gmail.com</t>
  </si>
  <si>
    <t>𝑺𝒖𝒅𝒆𝒓𝒂 𝑭𝒆𝒓𝒏𝒂𝒏𝒅𝒐Preview</t>
  </si>
  <si>
    <t>sudeera.alternate@gmail.com</t>
  </si>
  <si>
    <t>Pradeep Salehittal</t>
  </si>
  <si>
    <t>prad21935@gmail.com</t>
  </si>
  <si>
    <t>Adnan Halepota</t>
  </si>
  <si>
    <t>adnan_halepoto@hotmail.com</t>
  </si>
  <si>
    <t>Shahid Javed</t>
  </si>
  <si>
    <t>shahid.javed@intechww.com</t>
  </si>
  <si>
    <t>JaleeshBabu</t>
  </si>
  <si>
    <t>jaleeshbabu@gmail.com</t>
  </si>
  <si>
    <t>Sohail Khalid</t>
  </si>
  <si>
    <t>star_sohail@yahoo.co.in</t>
  </si>
  <si>
    <t>naser</t>
  </si>
  <si>
    <t>alriyaminaser@gmail.com</t>
  </si>
  <si>
    <t>Muhamamd Umair Aziz</t>
  </si>
  <si>
    <t>Umair.property@gmail.com</t>
  </si>
  <si>
    <t>umair.property@gmail.com</t>
  </si>
  <si>
    <t>Yonas Tsegaye</t>
  </si>
  <si>
    <t>yoni72001@yahoo.com</t>
  </si>
  <si>
    <t>Chandra Mohan</t>
  </si>
  <si>
    <t>kcmblr@gmail.com</t>
  </si>
  <si>
    <t>Mohammed Arif</t>
  </si>
  <si>
    <t>arif6mum@yahoo.com</t>
  </si>
  <si>
    <t>Rahij Khan</t>
  </si>
  <si>
    <t>szad2526@hotmail.com</t>
  </si>
  <si>
    <t>Muhammad Fiaz</t>
  </si>
  <si>
    <t>fiaz233@hotmail.com</t>
  </si>
  <si>
    <t>Abdul Gafoor Cheruvil</t>
  </si>
  <si>
    <t>alameentoys@yahoo.com</t>
  </si>
  <si>
    <t>syed</t>
  </si>
  <si>
    <t>syed_elite@yahoo.com</t>
  </si>
  <si>
    <t>Akhlaq Ahmad</t>
  </si>
  <si>
    <t>akhlaq.145@gmail.com</t>
  </si>
  <si>
    <t>Leena Castelino</t>
  </si>
  <si>
    <t>lcastelino86@hotmail.com</t>
  </si>
  <si>
    <t>Damac</t>
  </si>
  <si>
    <t>Mohammed Mustafa</t>
  </si>
  <si>
    <t>00966 544196669</t>
  </si>
  <si>
    <t>faisal.k@hsproperties.ae</t>
  </si>
  <si>
    <t>he is interested in Dubai hills but i try to give him Damac hills</t>
  </si>
  <si>
    <t>EhtishamIkram</t>
  </si>
  <si>
    <t>ehtishamikram@hotmail.com</t>
  </si>
  <si>
    <t>Damac Ala Carte</t>
  </si>
  <si>
    <t>Murtaza Athaniwala</t>
  </si>
  <si>
    <t>6252333@gmail.com</t>
  </si>
  <si>
    <t>PARAMOUNT TOWER DAMAC</t>
  </si>
  <si>
    <t>Abdulmohsen Albasha</t>
  </si>
  <si>
    <t>biomed11@hotmail.com</t>
  </si>
  <si>
    <t>karima Kimo</t>
  </si>
  <si>
    <t>karimasakma@yahoo.com</t>
  </si>
  <si>
    <t>DAMAC HILLS</t>
  </si>
  <si>
    <t>Moussa alkoud</t>
  </si>
  <si>
    <t>dyar-alsham@hotmail.com</t>
  </si>
  <si>
    <t>Gihan Aziz</t>
  </si>
  <si>
    <t>gihanaziz@gmail.com</t>
  </si>
  <si>
    <t>DAMAC RESIDENZE</t>
  </si>
  <si>
    <t>Matthew Igiwa</t>
  </si>
  <si>
    <t>matthew2304@msn.com</t>
  </si>
  <si>
    <t>Mohammad Mustafa</t>
  </si>
  <si>
    <t>mohdmustafa786@outlook.com</t>
  </si>
  <si>
    <t>jumaa Mahmood Alnassan</t>
  </si>
  <si>
    <t>nassanjuma@gmail.com</t>
  </si>
  <si>
    <t>Shahid Ahmad Qureshi</t>
  </si>
  <si>
    <t>shahmedical73@gmail.com</t>
  </si>
  <si>
    <t>Khurram Ashraf</t>
  </si>
  <si>
    <t>khurramashraf35@gmail.com</t>
  </si>
  <si>
    <t>Imran Salim</t>
  </si>
  <si>
    <t>writeimran@yahoo.com</t>
  </si>
  <si>
    <t>Amer Mosbah Koraytem</t>
  </si>
  <si>
    <t>amer_kouraytem@hotmail.com</t>
  </si>
  <si>
    <t>DAMAC ALA CARTE</t>
  </si>
  <si>
    <t>Nermin Emirbey</t>
  </si>
  <si>
    <t>nermin29@gmail.com</t>
  </si>
  <si>
    <t>Moin Khan</t>
  </si>
  <si>
    <t>Moinskhan@yahoo.com</t>
  </si>
  <si>
    <t>Shenouda Adeb</t>
  </si>
  <si>
    <t>shenouda_adeb@yahoo.com</t>
  </si>
  <si>
    <t>PARAMOUNT DAMAC</t>
  </si>
  <si>
    <t>Sar Bassi</t>
  </si>
  <si>
    <t>sarbjit1974@icloud.com</t>
  </si>
  <si>
    <t>Adeel Malik</t>
  </si>
  <si>
    <t>ahmadadeel81@yahoo.co.in</t>
  </si>
  <si>
    <t>Blue Eye Picture Official</t>
  </si>
  <si>
    <t>grytchenko@icloud.com</t>
  </si>
  <si>
    <t>Hafeez Malik</t>
  </si>
  <si>
    <t>airo0001@hotmail.com</t>
  </si>
  <si>
    <t>Mohamed Mubark El Hag</t>
  </si>
  <si>
    <t>m.mubarak636@gmail.com</t>
  </si>
  <si>
    <t>Asad Bin Mohammed</t>
  </si>
  <si>
    <t>abmdq@yahoo.com</t>
  </si>
  <si>
    <t>AbuAbdulla Warraich</t>
  </si>
  <si>
    <t>warraich0999@yahoo.com</t>
  </si>
  <si>
    <t>Sumil</t>
  </si>
  <si>
    <t>sumilcv@hotmail.com</t>
  </si>
  <si>
    <t>أحمد سليم</t>
  </si>
  <si>
    <t>ooosooo2016@gmail.com</t>
  </si>
  <si>
    <t>Andre Maarrawi</t>
  </si>
  <si>
    <t>ama.sensei@yahoo.fr</t>
  </si>
  <si>
    <t>Vidit Kumar (vidit@hsproperties.ae)</t>
  </si>
  <si>
    <t>Ra'Ed Kamal QaQish</t>
  </si>
  <si>
    <t>raedqaqish@hotmail.com</t>
  </si>
  <si>
    <t>Herbert Gröller</t>
  </si>
  <si>
    <t>herbert@groeller.at</t>
  </si>
  <si>
    <t>Mukhal Haseeb</t>
  </si>
  <si>
    <t>akhtar.guard@gmail.com</t>
  </si>
  <si>
    <t>Goran Petković</t>
  </si>
  <si>
    <t>goran@geneza.com</t>
  </si>
  <si>
    <t>Mohi Uddin</t>
  </si>
  <si>
    <t>mohiu@mail.com</t>
  </si>
  <si>
    <t>Sabir Ali</t>
  </si>
  <si>
    <t>saber_ali22@hotmail.com</t>
  </si>
  <si>
    <t>Wissam Merhej</t>
  </si>
  <si>
    <t>Wmerhej@me.com</t>
  </si>
  <si>
    <t>Younus Malik</t>
  </si>
  <si>
    <t>mymuaf@hotmail.com</t>
  </si>
  <si>
    <t>AKOYA DAMAC VILLA</t>
  </si>
  <si>
    <t>Ali Hedjem</t>
  </si>
  <si>
    <t>ali.hedjem@yahoo.fr</t>
  </si>
  <si>
    <t>Muhammad Saeed</t>
  </si>
  <si>
    <t>mohdsaed2010@hotmail.com</t>
  </si>
  <si>
    <t>Damac Residenze</t>
  </si>
  <si>
    <t>Nigena amini</t>
  </si>
  <si>
    <t>Nigen.a@hotmail.com</t>
  </si>
  <si>
    <t>Dhruv Patel</t>
  </si>
  <si>
    <t>dhruv_patel1506@yahoo.co.uk</t>
  </si>
  <si>
    <t>Ahmed barwish</t>
  </si>
  <si>
    <t>darwish_parts@hotmail.com</t>
  </si>
  <si>
    <t>Haythem Haggag</t>
  </si>
  <si>
    <t>haythemhaggag@hotmail.com</t>
  </si>
  <si>
    <t>DAMAC RESIDENCE</t>
  </si>
  <si>
    <t>Frederic Wenglorz</t>
  </si>
  <si>
    <t>fwenglorz@hotmail.com</t>
  </si>
  <si>
    <t>Saleh Xydan</t>
  </si>
  <si>
    <t>zeidan.saleh2020@gmail.com</t>
  </si>
  <si>
    <t>Rajeev Puthiyakunnath</t>
  </si>
  <si>
    <t>rajeev@alfa-royal.com</t>
  </si>
  <si>
    <t>Syed Mutayyab</t>
  </si>
  <si>
    <t>syed_mutayyab@yahoo.com</t>
  </si>
  <si>
    <t>Edgar Dsa</t>
  </si>
  <si>
    <t>dsaedgar@hotmail.com</t>
  </si>
  <si>
    <t>Ruksana Karim</t>
  </si>
  <si>
    <t>likies@hotmail.co.uk</t>
  </si>
  <si>
    <t>novrita andriani</t>
  </si>
  <si>
    <t>nandriani@mcdermott.com</t>
  </si>
  <si>
    <t>Ben Omran</t>
  </si>
  <si>
    <t>mabusaad@hotmail.com</t>
  </si>
  <si>
    <t>Oladokun Adeyemi</t>
  </si>
  <si>
    <t>adeyemioladokun@gmail.com</t>
  </si>
  <si>
    <t>Erwin Andre</t>
  </si>
  <si>
    <t>qualityrecs@yahoo.com</t>
  </si>
  <si>
    <t>LORETO DAMAC</t>
  </si>
  <si>
    <t>Mohapatra Sudeep</t>
  </si>
  <si>
    <t>sudeepmohapatra77@gmail.com</t>
  </si>
  <si>
    <t>Mohamed Yusoof</t>
  </si>
  <si>
    <t>amy.yusoof@gmail.com</t>
  </si>
  <si>
    <t>Sabah Matawik</t>
  </si>
  <si>
    <t>sabahmatawik@yahoo.com</t>
  </si>
  <si>
    <t>Swati Sinha</t>
  </si>
  <si>
    <t>Swatisinha0406@gmail.com</t>
  </si>
  <si>
    <t>Pupjana Kole</t>
  </si>
  <si>
    <t>pupjana.kole@gmail.com</t>
  </si>
  <si>
    <t>Tahir Azad</t>
  </si>
  <si>
    <t>tahazad@hotmail.com</t>
  </si>
  <si>
    <t>Unassigned</t>
  </si>
  <si>
    <t>Fouad Ayyad</t>
  </si>
  <si>
    <t>f_ayyad@hotmail.com</t>
  </si>
  <si>
    <t>cliff taylor</t>
  </si>
  <si>
    <t>cliffleetaylor@gmail.com</t>
  </si>
  <si>
    <t>Fortunato Ostacolo</t>
  </si>
  <si>
    <t>41spinos@gmail.com</t>
  </si>
  <si>
    <t>Abbas Razvi</t>
  </si>
  <si>
    <t>97150 4654828</t>
  </si>
  <si>
    <t>abbas.dilawerburj@gmail.com</t>
  </si>
  <si>
    <t>Abduljelil Sheka</t>
  </si>
  <si>
    <t>abduljelil.sheka@jacobs.com</t>
  </si>
  <si>
    <t>Mahesh Kumar Aravind</t>
  </si>
  <si>
    <t>alamanijewels@gmail.com</t>
  </si>
  <si>
    <t>Zaib Asif Bhatti</t>
  </si>
  <si>
    <t>asifbhatti421@hotmail.com</t>
  </si>
  <si>
    <t>M shaukat</t>
  </si>
  <si>
    <t>Shaukat98@hotmail.com</t>
  </si>
  <si>
    <t>Suresh</t>
  </si>
  <si>
    <t>sureshsanchu@gmail.com</t>
  </si>
  <si>
    <t>Mohamed Sameer</t>
  </si>
  <si>
    <t>m.sameer@kasccozambia.com</t>
  </si>
  <si>
    <t>Saeed Iqbal</t>
  </si>
  <si>
    <t>saeed.iqbal3418@gmail.com</t>
  </si>
  <si>
    <t>Ahmed Elgohary</t>
  </si>
  <si>
    <t>ahmed.elgohary.uae@gmail.com</t>
  </si>
  <si>
    <t>Ahmad Nafees</t>
  </si>
  <si>
    <t>nafess@gmail.com</t>
  </si>
  <si>
    <t>Algabbaa Ibrahim</t>
  </si>
  <si>
    <t>ibrahimalgabbaa@yahoo.com</t>
  </si>
  <si>
    <t>Nour Abushami</t>
  </si>
  <si>
    <t>nour.s.abushami@hotmail.com</t>
  </si>
  <si>
    <t>Elie Helou</t>
  </si>
  <si>
    <t>eliehelou@msn.com</t>
  </si>
  <si>
    <t>Adeb Shenouda</t>
  </si>
  <si>
    <t>Mohammad Ahmadi</t>
  </si>
  <si>
    <t>98 (912) 346-4458</t>
  </si>
  <si>
    <t>ahmadi.ajp@gmail.com</t>
  </si>
  <si>
    <t>Name: Harun Raseed</t>
  </si>
  <si>
    <t>hraseed@gmail.com</t>
  </si>
  <si>
    <t>READY BY DAMAC</t>
  </si>
  <si>
    <t>Pritesh</t>
  </si>
  <si>
    <t>Priteshdattani@hotmail.com</t>
  </si>
  <si>
    <t>DAMAC REZIDENCE</t>
  </si>
  <si>
    <t>Danish Majeed</t>
  </si>
  <si>
    <t>majeedgroup@yahoo.com</t>
  </si>
  <si>
    <t>Yousuf Mohamed</t>
  </si>
  <si>
    <t>Okassha1975@yahoo.com</t>
  </si>
  <si>
    <t>Jorge Andres Escobar</t>
  </si>
  <si>
    <t>jorge.escobar@insidequity.com</t>
  </si>
  <si>
    <t>mohammed mujeeb uddin</t>
  </si>
  <si>
    <t>n.mughrabi@hotmail.com</t>
  </si>
  <si>
    <t>Ayman Essam</t>
  </si>
  <si>
    <t>ayman@celergroup.com</t>
  </si>
  <si>
    <t>Mounir Mel</t>
  </si>
  <si>
    <t>Melmounir@gmail.com</t>
  </si>
  <si>
    <t>Malik Ahad</t>
  </si>
  <si>
    <t>malz_73@hotmail.com</t>
  </si>
  <si>
    <t>Odai Almomani</t>
  </si>
  <si>
    <t>cloud0odai@gmail.com</t>
  </si>
  <si>
    <t>AYKON CITY - DAMAC</t>
  </si>
  <si>
    <t>Zunera Usman</t>
  </si>
  <si>
    <t>zunerausman@yahoo.com</t>
  </si>
  <si>
    <t>AKOYA 1M DAMAC</t>
  </si>
  <si>
    <t>Assad Bensalem</t>
  </si>
  <si>
    <t>h.bensalem@man-brothers-arabian-group.com</t>
  </si>
  <si>
    <t>Shahid Mahmood</t>
  </si>
  <si>
    <t>m_sha18@yahoo.com</t>
  </si>
  <si>
    <t>Sami Sayyed</t>
  </si>
  <si>
    <t>sami_sayyed@hotmail.com</t>
  </si>
  <si>
    <t>Олег Ган</t>
  </si>
  <si>
    <t>oleg_gan@list.ru</t>
  </si>
  <si>
    <t>Anderson Dasse</t>
  </si>
  <si>
    <t>andersondasse@yahoo.co.uk</t>
  </si>
  <si>
    <t>Najam Shahid</t>
  </si>
  <si>
    <t>najamshahid@hotmail.com</t>
  </si>
  <si>
    <t>Sami Ahmed</t>
  </si>
  <si>
    <t>sami6125@yahoo.com</t>
  </si>
  <si>
    <t>Altaf Ahmed Khan</t>
  </si>
  <si>
    <t>altafk74@hotmail.com</t>
  </si>
  <si>
    <t>DAMAC EXPO</t>
  </si>
  <si>
    <t>Sharathreddysada</t>
  </si>
  <si>
    <t>sharathreddysada@gmail.com</t>
  </si>
  <si>
    <t>Bhagwan Ramchandani</t>
  </si>
  <si>
    <t>bhagwanr@hotmail.com</t>
  </si>
  <si>
    <t>Amen Amen</t>
  </si>
  <si>
    <t>steveexcellent@yahoo.com</t>
  </si>
  <si>
    <t>William</t>
  </si>
  <si>
    <t>971 50-556-5684</t>
  </si>
  <si>
    <t>williambrough55@yahoo.com</t>
  </si>
  <si>
    <t>Saleem Kuzhiyath Vadakkepura</t>
  </si>
  <si>
    <t>asifsaleem62@gmail.com</t>
  </si>
  <si>
    <t>GHAZANFAR KARIM</t>
  </si>
  <si>
    <t>44 79-4455-5575</t>
  </si>
  <si>
    <t>gaz_karim@hotmail.com</t>
  </si>
  <si>
    <t>Alper Ozdogan</t>
  </si>
  <si>
    <t>alper.wtfc@hotmail.co.uk</t>
  </si>
  <si>
    <t>Venkat Erpina</t>
  </si>
  <si>
    <t>Venkat.erpina@gmail.com</t>
  </si>
  <si>
    <t>Ricardo Recco</t>
  </si>
  <si>
    <t>ricardorecco@hotmail.com</t>
  </si>
  <si>
    <t>Muhammad</t>
  </si>
  <si>
    <t>971 50-763-4600</t>
  </si>
  <si>
    <t>shaancompany@gmail.com</t>
  </si>
  <si>
    <t>Mr Ali</t>
  </si>
  <si>
    <t>asaddarali1@hotmail.com</t>
  </si>
  <si>
    <t>Tareq Mahmoud Abu Asbeh</t>
  </si>
  <si>
    <t>abuasbeh_t@yahoo.com</t>
  </si>
  <si>
    <t>Nadhira Yahya</t>
  </si>
  <si>
    <t>Nadhiray@hotmail.com</t>
  </si>
  <si>
    <t>E Ali Salah</t>
  </si>
  <si>
    <t>elewa.ali@gmail.com</t>
  </si>
  <si>
    <t>Sivarajah kandeepan</t>
  </si>
  <si>
    <t>Skfoodandwine@gmail.com</t>
  </si>
  <si>
    <t>Khurram Tariq</t>
  </si>
  <si>
    <t>khurmy@hotmail.com</t>
  </si>
  <si>
    <t>DAMAC EXPO INDIA</t>
  </si>
  <si>
    <t>Shahbaz mohammad</t>
  </si>
  <si>
    <t>md.shahbaz1989@gmail.com</t>
  </si>
  <si>
    <t>Jd Kashi</t>
  </si>
  <si>
    <t>Kashijeedi@gmail.com</t>
  </si>
  <si>
    <t>James Brecknock</t>
  </si>
  <si>
    <t>Brecknockjames1@gmail.com</t>
  </si>
  <si>
    <t>Nabil Hallak</t>
  </si>
  <si>
    <t>kamashtic@hotmail.com</t>
  </si>
  <si>
    <t>Mohd Ali</t>
  </si>
  <si>
    <t>Mohd05295@gmail.com</t>
  </si>
  <si>
    <t>Mohamed Elhusseini</t>
  </si>
  <si>
    <t>leoalain8888@yahoo.com</t>
  </si>
  <si>
    <t>KIARA DAMAC</t>
  </si>
  <si>
    <t>Doris</t>
  </si>
  <si>
    <t>doris.5izmerenie@gmail.com</t>
  </si>
  <si>
    <t>Muhammad Hanan Tarq</t>
  </si>
  <si>
    <t>tariq.hanan@gmail.com</t>
  </si>
  <si>
    <t>Ahmed Jamil Siddiqi</t>
  </si>
  <si>
    <t>92 300 8232025</t>
  </si>
  <si>
    <t>ahmed@tex-bridge.com</t>
  </si>
  <si>
    <t>Muhammad Daniyal</t>
  </si>
  <si>
    <t>m.daniyal87@gmail.com</t>
  </si>
  <si>
    <t>Kousar Basha</t>
  </si>
  <si>
    <t>kousarbasha@gmail.com</t>
  </si>
  <si>
    <t>Hassan Fayeq Hassan</t>
  </si>
  <si>
    <t>hassan.eng2005@hotmail.com</t>
  </si>
  <si>
    <t>Saghir Hasan Khan</t>
  </si>
  <si>
    <t>khansaghir@hotmail.com</t>
  </si>
  <si>
    <t>Rani Chowdury</t>
  </si>
  <si>
    <t>monikanasrinaziz@yahoo.co.uk</t>
  </si>
  <si>
    <t>Arts</t>
  </si>
  <si>
    <t>artsharma@hotmail.com</t>
  </si>
  <si>
    <t>Abdulhafed</t>
  </si>
  <si>
    <t>Dpclengineer@gmail.com</t>
  </si>
  <si>
    <t>NEELABH KAPOOR</t>
  </si>
  <si>
    <t>studioneelabh@gmail.com</t>
  </si>
  <si>
    <t>Manoj Balakrishnan</t>
  </si>
  <si>
    <t>manojbkrishnan@gmail.com</t>
  </si>
  <si>
    <t>Rowida Elsaid</t>
  </si>
  <si>
    <t>rowaidaelsaid@gmail.com</t>
  </si>
  <si>
    <t>Naseeruddin Kamran</t>
  </si>
  <si>
    <t>naseeruddinkamran@gmail.com</t>
  </si>
  <si>
    <t>Atif Osman</t>
  </si>
  <si>
    <t>atifosman2000@yahoo.com</t>
  </si>
  <si>
    <t>Name: Toz</t>
  </si>
  <si>
    <t>Amg@yahoo.com</t>
  </si>
  <si>
    <t>Ras Hid</t>
  </si>
  <si>
    <t>rashidv@gmail.com</t>
  </si>
  <si>
    <t>Ashley Vijay</t>
  </si>
  <si>
    <t>ashley.crossteps@gmail.com</t>
  </si>
  <si>
    <t>Ramutulla Jan</t>
  </si>
  <si>
    <t>abdullahjanuk1975@gmail.com</t>
  </si>
  <si>
    <t>Abdallah Khlat</t>
  </si>
  <si>
    <t>abdallah_khlat@hotmail.com</t>
  </si>
  <si>
    <t>Dr Haroon Khan</t>
  </si>
  <si>
    <t>harunkhan1@gmail.com</t>
  </si>
  <si>
    <t>Aurangzeb Baig</t>
  </si>
  <si>
    <t>Aurangzebbg@gmail.com</t>
  </si>
  <si>
    <t>Mohamed Mirash</t>
  </si>
  <si>
    <t>mirash97@gmail.com</t>
  </si>
  <si>
    <t>Mohamed Yousuf</t>
  </si>
  <si>
    <t>drmuhammed10@gmail.com</t>
  </si>
  <si>
    <t>Mohammed Wehbe</t>
  </si>
  <si>
    <t>mohammed_wahbe@hotmail.com</t>
  </si>
  <si>
    <t>Prem Kishore Sunkari</t>
  </si>
  <si>
    <t>shalinikishore561@yahoo.com</t>
  </si>
  <si>
    <t>Ermias Andemariam</t>
  </si>
  <si>
    <t>ermiasaz@yahoo.com</t>
  </si>
  <si>
    <t>Ghufran Razvi</t>
  </si>
  <si>
    <t>ghufran.radiant@gmail.com</t>
  </si>
  <si>
    <t>Mohammed El Dawi</t>
  </si>
  <si>
    <t>eldawi@live.com</t>
  </si>
  <si>
    <t>Prince Wani</t>
  </si>
  <si>
    <t>prince.wani@gmail.com</t>
  </si>
  <si>
    <t>Yogeshkumar Patel</t>
  </si>
  <si>
    <t>yogurmy_11@yahoo.com</t>
  </si>
  <si>
    <t>Mohamed Saffour</t>
  </si>
  <si>
    <t>Mohamed.saffour@thyssenkrupp.com</t>
  </si>
  <si>
    <t>Masood Ijaz Hussain</t>
  </si>
  <si>
    <t>mih7758@yahoo.com</t>
  </si>
  <si>
    <t>Ashraf Muammar Alnawafleh</t>
  </si>
  <si>
    <t>ashrafpetra@yahoo.com</t>
  </si>
  <si>
    <t>Mounir Naemi</t>
  </si>
  <si>
    <t>mounirnaemi@yahoo.co.uk</t>
  </si>
  <si>
    <t>Michael Entrup</t>
  </si>
  <si>
    <t>michaentrup@live.com</t>
  </si>
  <si>
    <t>Rajesh Mirchandani</t>
  </si>
  <si>
    <t>rmirchi@gmail.com</t>
  </si>
  <si>
    <t>Muhammad Farooq Moosani</t>
  </si>
  <si>
    <t>moosani_traders@hotmail.com</t>
  </si>
  <si>
    <t>Kyogesh Chowdary</t>
  </si>
  <si>
    <t>mailyogi20@gmail.com</t>
  </si>
  <si>
    <t>Srikanth Reddy Lic</t>
  </si>
  <si>
    <t>Ksreddylic@gmail.com</t>
  </si>
  <si>
    <t>RADISSON BY DAMAC</t>
  </si>
  <si>
    <t>Hossam</t>
  </si>
  <si>
    <t>hkobrosy@gmail.com</t>
  </si>
  <si>
    <t>Imtiyaz Ahmed</t>
  </si>
  <si>
    <t>rayyanalkhairdxb@gmail.com</t>
  </si>
  <si>
    <t>Mufaddal Nafar</t>
  </si>
  <si>
    <t>muffinafar@gmail.com</t>
  </si>
  <si>
    <t>Sh A Mateen Shahzad</t>
  </si>
  <si>
    <t>matin_19@yahoo.com</t>
  </si>
  <si>
    <t>Syed Hassan Jawad</t>
  </si>
  <si>
    <t>hjhamadani@yahoo.com</t>
  </si>
  <si>
    <t>Hammad</t>
  </si>
  <si>
    <t>hammadenterprises@hotmail.com</t>
  </si>
  <si>
    <t>Nayeem Mohd</t>
  </si>
  <si>
    <t>Net2000@eim.ae</t>
  </si>
  <si>
    <t>Ashfaq Ahmad</t>
  </si>
  <si>
    <t>ashfaqasd@hotmail.com</t>
  </si>
  <si>
    <t>Nuwan Wickramarathne</t>
  </si>
  <si>
    <t>nuwan222wicks@yahoo.com</t>
  </si>
  <si>
    <t>Genesis Velazco</t>
  </si>
  <si>
    <t>gnevlzcoo@gmail.com</t>
  </si>
  <si>
    <t>Khalid Masoud</t>
  </si>
  <si>
    <t>khalid_kartoos@hotmail.com</t>
  </si>
  <si>
    <t>Omran Alhallami</t>
  </si>
  <si>
    <t>omran@osma-ag.ch</t>
  </si>
  <si>
    <t>Nasrullah Wani</t>
  </si>
  <si>
    <t>nasrullah001@yahoo.com</t>
  </si>
  <si>
    <t>Shahid Soomro</t>
  </si>
  <si>
    <t>alsoomro1508@gmail.com</t>
  </si>
  <si>
    <t>Ahmed Nabil</t>
  </si>
  <si>
    <t>ahmed.dubai2009@hotmail.com</t>
  </si>
  <si>
    <t>Ali Mehbob</t>
  </si>
  <si>
    <t>mahboobalialam@gmail.com</t>
  </si>
  <si>
    <t>Fisel Kt</t>
  </si>
  <si>
    <t>fiselptb@gmail.com</t>
  </si>
  <si>
    <t>Silviya Mascarenhas</t>
  </si>
  <si>
    <t>silviya_dsouza@yahoo.co.in</t>
  </si>
  <si>
    <t>Abu Abdullah</t>
  </si>
  <si>
    <t>akhtar_md_sheikh@yahoo.com</t>
  </si>
  <si>
    <t>Diar Alkhayat</t>
  </si>
  <si>
    <t>diar.alkhayat@beko-iraq.com</t>
  </si>
  <si>
    <t>Hanan Fadel</t>
  </si>
  <si>
    <t>617-594-1032</t>
  </si>
  <si>
    <t>fadelh@amtrak.com</t>
  </si>
  <si>
    <t>khusro@hsproperties.ae</t>
  </si>
  <si>
    <t>Freddie Arsene Mandet</t>
  </si>
  <si>
    <t>fmandet@me.com</t>
  </si>
  <si>
    <t>Sindujan Thambo</t>
  </si>
  <si>
    <t>sindujant@hotmail.com</t>
  </si>
  <si>
    <t>Mohamed Ragab</t>
  </si>
  <si>
    <t>mragab_acc@hotmail.com</t>
  </si>
  <si>
    <t>DAMAC TOWER OFFER</t>
  </si>
  <si>
    <t>Mohsin Memon</t>
  </si>
  <si>
    <t>0092 313 3989999</t>
  </si>
  <si>
    <t>Sohail Choudhury</t>
  </si>
  <si>
    <t>wickfordautocentre@hotmail.co.uk</t>
  </si>
  <si>
    <t>Srikanth Reddy Minukuri</t>
  </si>
  <si>
    <t>perfmon.minu@gmail.com</t>
  </si>
  <si>
    <t>Mohd Jaweed</t>
  </si>
  <si>
    <t>raheem78677@gmail.com</t>
  </si>
  <si>
    <t>Geetha Krishna</t>
  </si>
  <si>
    <t>gkgallery@gmail.com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</si>
</sst>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, yyyy"/>
    <numFmt numFmtId="165" formatCode="mmmm d, yyyy"/>
    <numFmt numFmtId="166" formatCode="mmm-d-yyyy"/>
    <numFmt numFmtId="167" formatCode="d-mmm-yy"/>
    <numFmt numFmtId="168" formatCode="d-mmm"/>
  </numFmts>
  <fonts count="11">
    <font>
      <sz val="10.0"/>
      <color rgb="FF000000"/>
      <name val="Arial"/>
    </font>
    <font>
      <b/>
      <sz val="10.0"/>
      <color rgb="FF000000"/>
      <name val="Calibri"/>
    </font>
    <font>
      <b/>
      <sz val="24.0"/>
      <color rgb="FF000000"/>
      <name val="Calibri"/>
    </font>
    <font/>
    <font>
      <b/>
      <color theme="1"/>
      <name val="Arial"/>
    </font>
    <font>
      <b/>
      <sz val="12.0"/>
      <color rgb="FF000000"/>
      <name val="Calibri"/>
    </font>
    <font>
      <b/>
      <sz val="12.0"/>
      <color theme="1"/>
      <name val="Arial"/>
    </font>
    <font>
      <sz val="11.0"/>
      <color rgb="FF000000"/>
      <name val="Calibri"/>
    </font>
    <font>
      <color theme="1"/>
      <name val="Arial"/>
    </font>
    <font>
      <sz val="11.0"/>
      <color rgb="FF33475B"/>
      <name val="Arial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8FA"/>
        <bgColor rgb="FFF5F8F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0" fillId="0" fontId="4" numFmtId="0" xfId="0" applyFont="1"/>
    <xf borderId="1" fillId="0" fontId="5" numFmtId="0" xfId="0" applyAlignment="1" applyBorder="1" applyFont="1">
      <alignment horizontal="center" readingOrder="0"/>
    </xf>
    <xf borderId="0" fillId="0" fontId="6" numFmtId="0" xfId="0" applyFont="1"/>
    <xf borderId="1" fillId="2" fontId="1" numFmtId="0" xfId="0" applyAlignment="1" applyBorder="1" applyFill="1" applyFont="1">
      <alignment horizontal="center" readingOrder="0" shrinkToFit="0" wrapText="0"/>
    </xf>
    <xf borderId="1" fillId="2" fontId="1" numFmtId="164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wrapText="0"/>
    </xf>
    <xf borderId="1" fillId="2" fontId="9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shrinkToFit="0" wrapText="0"/>
    </xf>
    <xf borderId="1" fillId="3" fontId="1" numFmtId="164" xfId="0" applyAlignment="1" applyBorder="1" applyFill="1" applyFont="1" applyNumberFormat="1">
      <alignment horizontal="center" readingOrder="0" shrinkToFit="0" wrapText="0"/>
    </xf>
    <xf borderId="1" fillId="3" fontId="1" numFmtId="0" xfId="0" applyAlignment="1" applyBorder="1" applyFont="1">
      <alignment horizontal="center" readingOrder="0" shrinkToFit="0" wrapText="0"/>
    </xf>
    <xf borderId="1" fillId="3" fontId="9" numFmtId="0" xfId="0" applyAlignment="1" applyBorder="1" applyFont="1">
      <alignment readingOrder="0" shrinkToFit="0" wrapText="0"/>
    </xf>
    <xf borderId="1" fillId="3" fontId="9" numFmtId="0" xfId="0" applyAlignment="1" applyBorder="1" applyFont="1">
      <alignment horizontal="left" readingOrder="0" shrinkToFit="0" wrapText="0"/>
    </xf>
    <xf borderId="1" fillId="2" fontId="9" numFmtId="0" xfId="0" applyAlignment="1" applyBorder="1" applyFont="1">
      <alignment readingOrder="0" shrinkToFit="0" wrapText="0"/>
    </xf>
    <xf borderId="1" fillId="2" fontId="1" numFmtId="165" xfId="0" applyAlignment="1" applyBorder="1" applyFont="1" applyNumberFormat="1">
      <alignment horizontal="center" readingOrder="0" shrinkToFit="0" wrapText="0"/>
    </xf>
    <xf borderId="1" fillId="3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1" numFmtId="11" xfId="0" applyAlignment="1" applyBorder="1" applyFont="1" applyNumberFormat="1">
      <alignment horizontal="center" readingOrder="0" shrinkToFit="0" wrapText="0"/>
    </xf>
    <xf borderId="1" fillId="2" fontId="9" numFmtId="166" xfId="0" applyAlignment="1" applyBorder="1" applyFont="1" applyNumberFormat="1">
      <alignment horizontal="left" readingOrder="0" shrinkToFit="0" wrapText="0"/>
    </xf>
    <xf borderId="1" fillId="2" fontId="9" numFmtId="167" xfId="0" applyAlignment="1" applyBorder="1" applyFont="1" applyNumberFormat="1">
      <alignment horizontal="left" readingOrder="0" shrinkToFit="0" wrapText="0"/>
    </xf>
    <xf borderId="1" fillId="0" fontId="10" numFmtId="0" xfId="0" applyAlignment="1" applyBorder="1" applyFont="1">
      <alignment horizontal="center"/>
    </xf>
    <xf borderId="1" fillId="0" fontId="7" numFmtId="0" xfId="0" applyAlignment="1" applyBorder="1" applyFont="1">
      <alignment horizontal="center" shrinkToFit="0" vertical="bottom" wrapText="0"/>
    </xf>
    <xf borderId="1" fillId="2" fontId="10" numFmtId="164" xfId="0" applyAlignment="1" applyBorder="1" applyFont="1" applyNumberFormat="1">
      <alignment horizontal="center" readingOrder="0" shrinkToFit="0" wrapText="0"/>
    </xf>
    <xf borderId="1" fillId="2" fontId="10" numFmtId="0" xfId="0" applyAlignment="1" applyBorder="1" applyFont="1">
      <alignment horizontal="center" readingOrder="0" shrinkToFit="0" wrapText="0"/>
    </xf>
    <xf borderId="1" fillId="2" fontId="10" numFmtId="0" xfId="0" applyAlignment="1" applyBorder="1" applyFont="1">
      <alignment horizontal="center" shrinkToFit="0" wrapText="0"/>
    </xf>
    <xf borderId="1" fillId="0" fontId="10" numFmtId="0" xfId="0" applyAlignment="1" applyBorder="1" applyFont="1">
      <alignment horizontal="center" readingOrder="0" shrinkToFit="0" wrapText="0"/>
    </xf>
    <xf borderId="1" fillId="2" fontId="9" numFmtId="168" xfId="0" applyAlignment="1" applyBorder="1" applyFont="1" applyNumberFormat="1">
      <alignment horizontal="left" readingOrder="0" shrinkToFit="0" wrapText="0"/>
    </xf>
    <xf borderId="1" fillId="2" fontId="10" numFmtId="165" xfId="0" applyAlignment="1" applyBorder="1" applyFont="1" applyNumberFormat="1">
      <alignment horizontal="center" readingOrder="0" shrinkToFit="0" wrapText="0"/>
    </xf>
    <xf borderId="1" fillId="3" fontId="10" numFmtId="164" xfId="0" applyAlignment="1" applyBorder="1" applyFont="1" applyNumberFormat="1">
      <alignment horizontal="center" readingOrder="0" shrinkToFit="0" wrapText="0"/>
    </xf>
    <xf borderId="1" fillId="3" fontId="10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0" fillId="2" fontId="9" numFmtId="0" xfId="0" applyAlignment="1" applyFont="1">
      <alignment readingOrder="0" shrinkToFit="0" wrapText="0"/>
    </xf>
    <xf borderId="0" fillId="2" fontId="9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mailto:junaidquyyum@gmail.com?bcc=6914917@bcc.hubspot.com" TargetMode="External"/><Relationship Id="rId391" Type="http://schemas.openxmlformats.org/officeDocument/2006/relationships/hyperlink" Target="mailto:m_cd_55@hotmail.com?bcc=6914917@bcc.hubspot.com" TargetMode="External"/><Relationship Id="rId390" Type="http://schemas.openxmlformats.org/officeDocument/2006/relationships/hyperlink" Target="mailto:ah_20@hotmail.com?bcc=6914917@bcc.hubspot.com" TargetMode="External"/><Relationship Id="rId1" Type="http://schemas.openxmlformats.org/officeDocument/2006/relationships/hyperlink" Target="mailto:haseebandrabi@hotmail.com?bcc=6914917@bcc.hubspot.com" TargetMode="External"/><Relationship Id="rId2" Type="http://schemas.openxmlformats.org/officeDocument/2006/relationships/hyperlink" Target="mailto:drshoeb@yahoo.com?bcc=6914917@bcc.hubspot.com" TargetMode="External"/><Relationship Id="rId3" Type="http://schemas.openxmlformats.org/officeDocument/2006/relationships/hyperlink" Target="mailto:juicy_basem@yahoo.com?bcc=6914917@bcc.hubspot.com" TargetMode="External"/><Relationship Id="rId4" Type="http://schemas.openxmlformats.org/officeDocument/2006/relationships/hyperlink" Target="mailto:jack.888@hotmail.com?bcc=6914917@bcc.hubspot.com" TargetMode="External"/><Relationship Id="rId9" Type="http://schemas.openxmlformats.org/officeDocument/2006/relationships/hyperlink" Target="mailto:mikleye2050@gmail.com?bcc=6914917@bcc.hubspot.com" TargetMode="External"/><Relationship Id="rId385" Type="http://schemas.openxmlformats.org/officeDocument/2006/relationships/hyperlink" Target="mailto:faisal.h@mashriqtelecom.com?bcc=6914917@bcc.hubspot.com" TargetMode="External"/><Relationship Id="rId384" Type="http://schemas.openxmlformats.org/officeDocument/2006/relationships/hyperlink" Target="mailto:macmaddy_1981@yahoo.com?bcc=6914917@bcc.hubspot.com" TargetMode="External"/><Relationship Id="rId383" Type="http://schemas.openxmlformats.org/officeDocument/2006/relationships/hyperlink" Target="mailto:macaw230@hotmail.com?bcc=6914917@bcc.hubspot.com" TargetMode="External"/><Relationship Id="rId382" Type="http://schemas.openxmlformats.org/officeDocument/2006/relationships/hyperlink" Target="mailto:vinodasnani0@gmail.com?bcc=6914917@bcc.hubspot.com" TargetMode="External"/><Relationship Id="rId5" Type="http://schemas.openxmlformats.org/officeDocument/2006/relationships/hyperlink" Target="mailto:hosam.surgeon@gmail.com?bcc=6914917@bcc.hubspot.com" TargetMode="External"/><Relationship Id="rId389" Type="http://schemas.openxmlformats.org/officeDocument/2006/relationships/hyperlink" Target="mailto:kareem_magdy_ibrahim@hotmail.com?bcc=6914917@bcc.hubspot.com" TargetMode="External"/><Relationship Id="rId6" Type="http://schemas.openxmlformats.org/officeDocument/2006/relationships/hyperlink" Target="mailto:obaidalketbi12@gmail.com?bcc=6914917@bcc.hubspot.com" TargetMode="External"/><Relationship Id="rId388" Type="http://schemas.openxmlformats.org/officeDocument/2006/relationships/hyperlink" Target="mailto:shyshaj@gmail.com?bcc=6914917@bcc.hubspot.com" TargetMode="External"/><Relationship Id="rId7" Type="http://schemas.openxmlformats.org/officeDocument/2006/relationships/hyperlink" Target="mailto:mohdpvt@gmail.com?bcc=6914917@bcc.hubspot.com" TargetMode="External"/><Relationship Id="rId387" Type="http://schemas.openxmlformats.org/officeDocument/2006/relationships/hyperlink" Target="mailto:famiali@hotmail.com?bcc=6914917@bcc.hubspot.com" TargetMode="External"/><Relationship Id="rId8" Type="http://schemas.openxmlformats.org/officeDocument/2006/relationships/hyperlink" Target="mailto:Jamalzal18820@gmail.com?bcc=6914917@bcc.hubspot.com" TargetMode="External"/><Relationship Id="rId386" Type="http://schemas.openxmlformats.org/officeDocument/2006/relationships/hyperlink" Target="mailto:hemanthdo@yahoo.com?bcc=6914917@bcc.hubspot.com" TargetMode="External"/><Relationship Id="rId381" Type="http://schemas.openxmlformats.org/officeDocument/2006/relationships/hyperlink" Target="mailto:elano_80@hotmail.com?bcc=6914917@bcc.hubspot.com" TargetMode="External"/><Relationship Id="rId380" Type="http://schemas.openxmlformats.org/officeDocument/2006/relationships/hyperlink" Target="mailto:alarosajwgold@gmail.com?bcc=6914917@bcc.hubspot.com" TargetMode="External"/><Relationship Id="rId379" Type="http://schemas.openxmlformats.org/officeDocument/2006/relationships/hyperlink" Target="mailto:a7la-ad@hotmail.com?bcc=6914917@bcc.hubspot.com" TargetMode="External"/><Relationship Id="rId374" Type="http://schemas.openxmlformats.org/officeDocument/2006/relationships/hyperlink" Target="mailto:alpa85@gmail.com?bcc=6914917@bcc.hubspot.com" TargetMode="External"/><Relationship Id="rId373" Type="http://schemas.openxmlformats.org/officeDocument/2006/relationships/hyperlink" Target="mailto:zayedtamer@hotmail.com?bcc=6914917@bcc.hubspot.com" TargetMode="External"/><Relationship Id="rId372" Type="http://schemas.openxmlformats.org/officeDocument/2006/relationships/hyperlink" Target="mailto:beverley.swinerd@mediclinic.ae?bcc=6914917@bcc.hubspot.com" TargetMode="External"/><Relationship Id="rId371" Type="http://schemas.openxmlformats.org/officeDocument/2006/relationships/hyperlink" Target="mailto:roufaydah27@hotmail.com?bcc=6914917@bcc.hubspot.com" TargetMode="External"/><Relationship Id="rId378" Type="http://schemas.openxmlformats.org/officeDocument/2006/relationships/hyperlink" Target="mailto:soniarizwan1990@gmail.com?bcc=6914917@bcc.hubspot.com" TargetMode="External"/><Relationship Id="rId377" Type="http://schemas.openxmlformats.org/officeDocument/2006/relationships/hyperlink" Target="mailto:fathiruby@gmail.com?bcc=6914917@bcc.hubspot.com" TargetMode="External"/><Relationship Id="rId376" Type="http://schemas.openxmlformats.org/officeDocument/2006/relationships/hyperlink" Target="mailto:mgoodrickmaiava@gmail.com?bcc=6914917@bcc.hubspot.com" TargetMode="External"/><Relationship Id="rId375" Type="http://schemas.openxmlformats.org/officeDocument/2006/relationships/hyperlink" Target="mailto:ash3288@hotmail.com?bcc=6914917@bcc.hubspot.com" TargetMode="External"/><Relationship Id="rId396" Type="http://schemas.openxmlformats.org/officeDocument/2006/relationships/hyperlink" Target="mailto:soookary@yahoo.com?bcc=6914917@bcc.hubspot.com" TargetMode="External"/><Relationship Id="rId395" Type="http://schemas.openxmlformats.org/officeDocument/2006/relationships/hyperlink" Target="mailto:elbagour786@gmail.com?bcc=6914917@bcc.hubspot.com" TargetMode="External"/><Relationship Id="rId394" Type="http://schemas.openxmlformats.org/officeDocument/2006/relationships/hyperlink" Target="mailto:hussain.wali@hotmail.com?bcc=6914917@bcc.hubspot.com" TargetMode="External"/><Relationship Id="rId393" Type="http://schemas.openxmlformats.org/officeDocument/2006/relationships/hyperlink" Target="mailto:pragatianil@gmail.com?bcc=6914917@bcc.hubspot.com" TargetMode="External"/><Relationship Id="rId399" Type="http://schemas.openxmlformats.org/officeDocument/2006/relationships/hyperlink" Target="mailto:hasanaligemail@gmail.com?bcc=6914917@bcc.hubspot.com" TargetMode="External"/><Relationship Id="rId398" Type="http://schemas.openxmlformats.org/officeDocument/2006/relationships/hyperlink" Target="mailto:mj.chanco@yahoo.com?bcc=6914917@bcc.hubspot.com" TargetMode="External"/><Relationship Id="rId397" Type="http://schemas.openxmlformats.org/officeDocument/2006/relationships/hyperlink" Target="mailto:laith7046@yahoo.com?bcc=6914917@bcc.hubspot.com" TargetMode="External"/><Relationship Id="rId808" Type="http://schemas.openxmlformats.org/officeDocument/2006/relationships/hyperlink" Target="mailto:rabaef@gmail.com?bcc=6914917@bcc.hubspot.com" TargetMode="External"/><Relationship Id="rId807" Type="http://schemas.openxmlformats.org/officeDocument/2006/relationships/hyperlink" Target="mailto:maary191@hotmail.com?bcc=6914917@bcc.hubspot.com" TargetMode="External"/><Relationship Id="rId806" Type="http://schemas.openxmlformats.org/officeDocument/2006/relationships/hyperlink" Target="mailto:ramiabdeldayem15@gmail.com?bcc=6914917@bcc.hubspot.com" TargetMode="External"/><Relationship Id="rId805" Type="http://schemas.openxmlformats.org/officeDocument/2006/relationships/hyperlink" Target="mailto:nitish31190@gmail.com?bcc=6914917@bcc.hubspot.com" TargetMode="External"/><Relationship Id="rId809" Type="http://schemas.openxmlformats.org/officeDocument/2006/relationships/hyperlink" Target="mailto:dua.geetika@gmail.com?bcc=6914917@bcc.hubspot.com" TargetMode="External"/><Relationship Id="rId800" Type="http://schemas.openxmlformats.org/officeDocument/2006/relationships/hyperlink" Target="mailto:meemee_ch@hotmail.com?bcc=6914917@bcc.hubspot.com" TargetMode="External"/><Relationship Id="rId804" Type="http://schemas.openxmlformats.org/officeDocument/2006/relationships/hyperlink" Target="mailto:khb@gmail.com?bcc=6914917@bcc.hubspot.com" TargetMode="External"/><Relationship Id="rId803" Type="http://schemas.openxmlformats.org/officeDocument/2006/relationships/hyperlink" Target="mailto:dr.bashir.j@gmail.com?bcc=6914917@bcc.hubspot.com" TargetMode="External"/><Relationship Id="rId802" Type="http://schemas.openxmlformats.org/officeDocument/2006/relationships/hyperlink" Target="mailto:peterrayan@hotmail.com?bcc=6914917@bcc.hubspot.com" TargetMode="External"/><Relationship Id="rId801" Type="http://schemas.openxmlformats.org/officeDocument/2006/relationships/hyperlink" Target="mailto:support@ekat.ae?bcc=6914917@bcc.hubspot.com" TargetMode="External"/><Relationship Id="rId40" Type="http://schemas.openxmlformats.org/officeDocument/2006/relationships/hyperlink" Target="mailto:nahyan@wiecco.com?bcc=6914917@bcc.hubspot.com" TargetMode="External"/><Relationship Id="rId1334" Type="http://schemas.openxmlformats.org/officeDocument/2006/relationships/hyperlink" Target="mailto:sayedfaisal1682@gmail.com?bcc=6914917@bcc.hubspot.com" TargetMode="External"/><Relationship Id="rId1335" Type="http://schemas.openxmlformats.org/officeDocument/2006/relationships/hyperlink" Target="mailto:richardblim@hotmail.com?bcc=6914917@bcc.hubspot.com" TargetMode="External"/><Relationship Id="rId42" Type="http://schemas.openxmlformats.org/officeDocument/2006/relationships/hyperlink" Target="mailto:fatima-ghafli@hotmail.com?bcc=6914917@bcc.hubspot.com" TargetMode="External"/><Relationship Id="rId1336" Type="http://schemas.openxmlformats.org/officeDocument/2006/relationships/hyperlink" Target="mailto:eng.manzoor123@gmail.com?bcc=6914917@bcc.hubspot.com" TargetMode="External"/><Relationship Id="rId41" Type="http://schemas.openxmlformats.org/officeDocument/2006/relationships/hyperlink" Target="mailto:masd@gmail.com?bcc=6914917@bcc.hubspot.com" TargetMode="External"/><Relationship Id="rId1337" Type="http://schemas.openxmlformats.org/officeDocument/2006/relationships/hyperlink" Target="mailto:michaelgbenoba@yahoo.com?bcc=6914917@bcc.hubspot.com" TargetMode="External"/><Relationship Id="rId44" Type="http://schemas.openxmlformats.org/officeDocument/2006/relationships/hyperlink" Target="mailto:cyfung33@hotmail.com?bcc=6914917@bcc.hubspot.com" TargetMode="External"/><Relationship Id="rId1338" Type="http://schemas.openxmlformats.org/officeDocument/2006/relationships/hyperlink" Target="mailto:melaniepring@yahoo.com?bcc=6914917@bcc.hubspot.com" TargetMode="External"/><Relationship Id="rId43" Type="http://schemas.openxmlformats.org/officeDocument/2006/relationships/hyperlink" Target="mailto:toby.n.roberts@gmx.com?bcc=6914917@bcc.hubspot.com" TargetMode="External"/><Relationship Id="rId1339" Type="http://schemas.openxmlformats.org/officeDocument/2006/relationships/hyperlink" Target="mailto:hassaannizami@gmail.com?bcc=6914917@bcc.hubspot.com" TargetMode="External"/><Relationship Id="rId46" Type="http://schemas.openxmlformats.org/officeDocument/2006/relationships/hyperlink" Target="mailto:jimmmmywu2004@gmail.com?bcc=6914917@bcc.hubspot.com" TargetMode="External"/><Relationship Id="rId45" Type="http://schemas.openxmlformats.org/officeDocument/2006/relationships/hyperlink" Target="mailto:samuelyip93@gmail.com?bcc=6914917@bcc.hubspot.com" TargetMode="External"/><Relationship Id="rId745" Type="http://schemas.openxmlformats.org/officeDocument/2006/relationships/hyperlink" Target="mailto:simonjwilliams86@hotmail.co.uk?bcc=6914917@bcc.hubspot.com" TargetMode="External"/><Relationship Id="rId744" Type="http://schemas.openxmlformats.org/officeDocument/2006/relationships/hyperlink" Target="mailto:pmuregi79@gmail.com?bcc=6914917@bcc.hubspot.com" TargetMode="External"/><Relationship Id="rId743" Type="http://schemas.openxmlformats.org/officeDocument/2006/relationships/hyperlink" Target="mailto:zaabiazza@gmail.com?bcc=6914917@bcc.hubspot.com" TargetMode="External"/><Relationship Id="rId742" Type="http://schemas.openxmlformats.org/officeDocument/2006/relationships/hyperlink" Target="mailto:mh.agha88@hotmail.com?bcc=6914917@bcc.hubspot.com" TargetMode="External"/><Relationship Id="rId749" Type="http://schemas.openxmlformats.org/officeDocument/2006/relationships/hyperlink" Target="mailto:julian2ma@hotmail.com?bcc=6914917@bcc.hubspot.com" TargetMode="External"/><Relationship Id="rId748" Type="http://schemas.openxmlformats.org/officeDocument/2006/relationships/hyperlink" Target="mailto:imtiaz11022@yahoo.com?bcc=6914917@bcc.hubspot.com" TargetMode="External"/><Relationship Id="rId747" Type="http://schemas.openxmlformats.org/officeDocument/2006/relationships/hyperlink" Target="mailto:cristi.mihai.constantin@gmail.com?bcc=6914917@bcc.hubspot.com" TargetMode="External"/><Relationship Id="rId746" Type="http://schemas.openxmlformats.org/officeDocument/2006/relationships/hyperlink" Target="mailto:choonwahwallace@gmail.com?bcc=6914917@bcc.hubspot.com" TargetMode="External"/><Relationship Id="rId48" Type="http://schemas.openxmlformats.org/officeDocument/2006/relationships/hyperlink" Target="mailto:hudagg123123@gmail.com?bcc=6914917@bcc.hubspot.com" TargetMode="External"/><Relationship Id="rId47" Type="http://schemas.openxmlformats.org/officeDocument/2006/relationships/hyperlink" Target="mailto:ayed_t@live.com?bcc=6914917@bcc.hubspot.com" TargetMode="External"/><Relationship Id="rId49" Type="http://schemas.openxmlformats.org/officeDocument/2006/relationships/hyperlink" Target="mailto:Awolumateidris@gmail.com?bcc=6914917@bcc.hubspot.com" TargetMode="External"/><Relationship Id="rId741" Type="http://schemas.openxmlformats.org/officeDocument/2006/relationships/hyperlink" Target="mailto:umar.mughal83@gmail.com?bcc=6914917@bcc.hubspot.com" TargetMode="External"/><Relationship Id="rId1330" Type="http://schemas.openxmlformats.org/officeDocument/2006/relationships/hyperlink" Target="mailto:raneeshaasharaf@gmail.com?bcc=6914917@bcc.hubspot.com" TargetMode="External"/><Relationship Id="rId740" Type="http://schemas.openxmlformats.org/officeDocument/2006/relationships/hyperlink" Target="mailto:khalid.aljarjawi@gmail.com?bcc=6914917@bcc.hubspot.com" TargetMode="External"/><Relationship Id="rId1331" Type="http://schemas.openxmlformats.org/officeDocument/2006/relationships/hyperlink" Target="mailto:lass2001@hotmail.com?bcc=6914917@bcc.hubspot.com" TargetMode="External"/><Relationship Id="rId1332" Type="http://schemas.openxmlformats.org/officeDocument/2006/relationships/hyperlink" Target="mailto:vowia@yahoo.com?bcc=6914917@bcc.hubspot.com" TargetMode="External"/><Relationship Id="rId1333" Type="http://schemas.openxmlformats.org/officeDocument/2006/relationships/hyperlink" Target="mailto:binnykhurana0@gmail.com?bcc=6914917@bcc.hubspot.com" TargetMode="External"/><Relationship Id="rId1323" Type="http://schemas.openxmlformats.org/officeDocument/2006/relationships/hyperlink" Target="mailto:vowia@yahoo.com?bcc=6914917@bcc.hubspot.com" TargetMode="External"/><Relationship Id="rId1324" Type="http://schemas.openxmlformats.org/officeDocument/2006/relationships/hyperlink" Target="mailto:nicvanjosh@gmail.com?bcc=6914917@bcc.hubspot.com" TargetMode="External"/><Relationship Id="rId31" Type="http://schemas.openxmlformats.org/officeDocument/2006/relationships/hyperlink" Target="mailto:harsh.thanki19@live.com?bcc=6914917@bcc.hubspot.com" TargetMode="External"/><Relationship Id="rId1325" Type="http://schemas.openxmlformats.org/officeDocument/2006/relationships/hyperlink" Target="mailto:binnykhurana0@gmail.com?bcc=6914917@bcc.hubspot.com" TargetMode="External"/><Relationship Id="rId30" Type="http://schemas.openxmlformats.org/officeDocument/2006/relationships/hyperlink" Target="mailto:saleh.ebrar@live.com?bcc=6914917@bcc.hubspot.com" TargetMode="External"/><Relationship Id="rId1326" Type="http://schemas.openxmlformats.org/officeDocument/2006/relationships/hyperlink" Target="mailto:am.albasha@gmail.com?bcc=6914917@bcc.hubspot.com" TargetMode="External"/><Relationship Id="rId33" Type="http://schemas.openxmlformats.org/officeDocument/2006/relationships/hyperlink" Target="mailto:thedeto84@gmail.com?bcc=6914917@bcc.hubspot.com" TargetMode="External"/><Relationship Id="rId1327" Type="http://schemas.openxmlformats.org/officeDocument/2006/relationships/hyperlink" Target="mailto:rommelrasco@gmail.com?bcc=6914917@bcc.hubspot.com" TargetMode="External"/><Relationship Id="rId32" Type="http://schemas.openxmlformats.org/officeDocument/2006/relationships/hyperlink" Target="mailto:alshehhi.878@gmail.com?bcc=6914917@bcc.hubspot.com" TargetMode="External"/><Relationship Id="rId1328" Type="http://schemas.openxmlformats.org/officeDocument/2006/relationships/hyperlink" Target="mailto:blackmonster_2002@hotmail.com?bcc=6914917@bcc.hubspot.com" TargetMode="External"/><Relationship Id="rId35" Type="http://schemas.openxmlformats.org/officeDocument/2006/relationships/hyperlink" Target="mailto:mrayyan@rivieraeng.ae?bcc=6914917@bcc.hubspot.com" TargetMode="External"/><Relationship Id="rId1329" Type="http://schemas.openxmlformats.org/officeDocument/2006/relationships/hyperlink" Target="mailto:simonzchan1965@gmail.com?bcc=6914917@bcc.hubspot.com" TargetMode="External"/><Relationship Id="rId34" Type="http://schemas.openxmlformats.org/officeDocument/2006/relationships/hyperlink" Target="mailto:adnan7866uae@gmail.com?bcc=6914917@bcc.hubspot.com" TargetMode="External"/><Relationship Id="rId739" Type="http://schemas.openxmlformats.org/officeDocument/2006/relationships/hyperlink" Target="mailto:arslan.anjum42@yahoo.com?bcc=6914917@bcc.hubspot.com" TargetMode="External"/><Relationship Id="rId734" Type="http://schemas.openxmlformats.org/officeDocument/2006/relationships/hyperlink" Target="mailto:kahamdy1@gmail.com?bcc=6914917@bcc.hubspot.com" TargetMode="External"/><Relationship Id="rId733" Type="http://schemas.openxmlformats.org/officeDocument/2006/relationships/hyperlink" Target="mailto:hishamelfeky@gmail.com?bcc=6914917@bcc.hubspot.com" TargetMode="External"/><Relationship Id="rId732" Type="http://schemas.openxmlformats.org/officeDocument/2006/relationships/hyperlink" Target="mailto:besooooo223@gmaiI.com?bcc=6914917@bcc.hubspot.com" TargetMode="External"/><Relationship Id="rId731" Type="http://schemas.openxmlformats.org/officeDocument/2006/relationships/hyperlink" Target="mailto:hhalali@eim.ae?bcc=6914917@bcc.hubspot.com" TargetMode="External"/><Relationship Id="rId738" Type="http://schemas.openxmlformats.org/officeDocument/2006/relationships/hyperlink" Target="mailto:charles.hajjar@hotmail.com?bcc=6914917@bcc.hubspot.com" TargetMode="External"/><Relationship Id="rId737" Type="http://schemas.openxmlformats.org/officeDocument/2006/relationships/hyperlink" Target="mailto:harjasi12@gmail.com?bcc=6914917@bcc.hubspot.com" TargetMode="External"/><Relationship Id="rId736" Type="http://schemas.openxmlformats.org/officeDocument/2006/relationships/hyperlink" Target="mailto:nightsss2004@yahoo.com?bcc=6914917@bcc.hubspot.com" TargetMode="External"/><Relationship Id="rId735" Type="http://schemas.openxmlformats.org/officeDocument/2006/relationships/hyperlink" Target="mailto:lilythuvn.com@gmail.com?bcc=6914917@bcc.hubspot.com" TargetMode="External"/><Relationship Id="rId37" Type="http://schemas.openxmlformats.org/officeDocument/2006/relationships/hyperlink" Target="mailto:yasser_elnhhas@yahoo.com?bcc=6914917@bcc.hubspot.com" TargetMode="External"/><Relationship Id="rId36" Type="http://schemas.openxmlformats.org/officeDocument/2006/relationships/hyperlink" Target="mailto:saud88almuaini@gmail.com?bcc=6914917@bcc.hubspot.com" TargetMode="External"/><Relationship Id="rId39" Type="http://schemas.openxmlformats.org/officeDocument/2006/relationships/hyperlink" Target="mailto:c.saman@live.com?bcc=6914917@bcc.hubspot.com" TargetMode="External"/><Relationship Id="rId38" Type="http://schemas.openxmlformats.org/officeDocument/2006/relationships/hyperlink" Target="mailto:kamranmalik84@hotmail.com?bcc=6914917@bcc.hubspot.com" TargetMode="External"/><Relationship Id="rId730" Type="http://schemas.openxmlformats.org/officeDocument/2006/relationships/hyperlink" Target="mailto:stephane_lucas44@outlook.fr?bcc=6914917@bcc.hubspot.com" TargetMode="External"/><Relationship Id="rId1320" Type="http://schemas.openxmlformats.org/officeDocument/2006/relationships/hyperlink" Target="mailto:babitadigari@outlook.com?bcc=6914917@bcc.hubspot.com" TargetMode="External"/><Relationship Id="rId1321" Type="http://schemas.openxmlformats.org/officeDocument/2006/relationships/hyperlink" Target="mailto:mohammedabrara@gmail.com?bcc=6914917@bcc.hubspot.com" TargetMode="External"/><Relationship Id="rId1322" Type="http://schemas.openxmlformats.org/officeDocument/2006/relationships/hyperlink" Target="mailto:malik_emirates@yahoo.com?bcc=6914917@bcc.hubspot.com" TargetMode="External"/><Relationship Id="rId1356" Type="http://schemas.openxmlformats.org/officeDocument/2006/relationships/hyperlink" Target="mailto:qamarsaada@hotmail.com?bcc=6914917@bcc.hubspot.com" TargetMode="External"/><Relationship Id="rId1357" Type="http://schemas.openxmlformats.org/officeDocument/2006/relationships/hyperlink" Target="mailto:rkpsinha14@yahoo.co.in?bcc=6914917@bcc.hubspot.com" TargetMode="External"/><Relationship Id="rId20" Type="http://schemas.openxmlformats.org/officeDocument/2006/relationships/hyperlink" Target="mailto:en.mahmoudsafety@gmail.com?bcc=6914917@bcc.hubspot.com" TargetMode="External"/><Relationship Id="rId1358" Type="http://schemas.openxmlformats.org/officeDocument/2006/relationships/hyperlink" Target="mailto:mahmood.yasser@gmail.com?bcc=6914917@bcc.hubspot.com" TargetMode="External"/><Relationship Id="rId1359" Type="http://schemas.openxmlformats.org/officeDocument/2006/relationships/hyperlink" Target="mailto:mirashrafali387@gmail.com?bcc=6914917@bcc.hubspot.com" TargetMode="External"/><Relationship Id="rId22" Type="http://schemas.openxmlformats.org/officeDocument/2006/relationships/hyperlink" Target="mailto:maryamf2014@gmail.com?bcc=6914917@bcc.hubspot.com" TargetMode="External"/><Relationship Id="rId21" Type="http://schemas.openxmlformats.org/officeDocument/2006/relationships/hyperlink" Target="mailto:eng.aamna1@gmail.com?bcc=6914917@bcc.hubspot.com" TargetMode="External"/><Relationship Id="rId24" Type="http://schemas.openxmlformats.org/officeDocument/2006/relationships/hyperlink" Target="mailto:abu.nayif129@gmail.com?bcc=6914917@bcc.hubspot.com" TargetMode="External"/><Relationship Id="rId23" Type="http://schemas.openxmlformats.org/officeDocument/2006/relationships/hyperlink" Target="mailto:mfs_an@hotmail.com?bcc=6914917@bcc.hubspot.com" TargetMode="External"/><Relationship Id="rId767" Type="http://schemas.openxmlformats.org/officeDocument/2006/relationships/hyperlink" Target="mailto:ramialnazer@gmail.com?bcc=6914917@bcc.hubspot.com" TargetMode="External"/><Relationship Id="rId766" Type="http://schemas.openxmlformats.org/officeDocument/2006/relationships/hyperlink" Target="mailto:fsfs1234@yahoo.com?bcc=6914917@bcc.hubspot.com" TargetMode="External"/><Relationship Id="rId765" Type="http://schemas.openxmlformats.org/officeDocument/2006/relationships/hyperlink" Target="mailto:mis@altajhotels.com?bcc=6914917@bcc.hubspot.com" TargetMode="External"/><Relationship Id="rId764" Type="http://schemas.openxmlformats.org/officeDocument/2006/relationships/hyperlink" Target="mailto:wafa.alblooshi@yahoo.com?bcc=6914917@bcc.hubspot.com" TargetMode="External"/><Relationship Id="rId769" Type="http://schemas.openxmlformats.org/officeDocument/2006/relationships/hyperlink" Target="mailto:yastv@eim.ae?bcc=6914917@bcc.hubspot.com" TargetMode="External"/><Relationship Id="rId768" Type="http://schemas.openxmlformats.org/officeDocument/2006/relationships/hyperlink" Target="mailto:mulham.k@anorka.com?bcc=6914917@bcc.hubspot.com" TargetMode="External"/><Relationship Id="rId26" Type="http://schemas.openxmlformats.org/officeDocument/2006/relationships/hyperlink" Target="mailto:simonntale@gmail.com?bcc=6914917@bcc.hubspot.com" TargetMode="External"/><Relationship Id="rId25" Type="http://schemas.openxmlformats.org/officeDocument/2006/relationships/hyperlink" Target="mailto:mis-abdullah-albaker@hotmail.com?bcc=6914917@bcc.hubspot.com" TargetMode="External"/><Relationship Id="rId28" Type="http://schemas.openxmlformats.org/officeDocument/2006/relationships/hyperlink" Target="mailto:a_aljabouri@yahoo.com?bcc=6914917@bcc.hubspot.com" TargetMode="External"/><Relationship Id="rId1350" Type="http://schemas.openxmlformats.org/officeDocument/2006/relationships/hyperlink" Target="mailto:aghanbari74@yahoo.com?bcc=6914917@bcc.hubspot.com" TargetMode="External"/><Relationship Id="rId27" Type="http://schemas.openxmlformats.org/officeDocument/2006/relationships/hyperlink" Target="mailto:hallalsalam@hotmail.com?bcc=6914917@bcc.hubspot.com" TargetMode="External"/><Relationship Id="rId1351" Type="http://schemas.openxmlformats.org/officeDocument/2006/relationships/hyperlink" Target="mailto:mohd.bostaji@emirates.com?bcc=6914917@bcc.hubspot.com" TargetMode="External"/><Relationship Id="rId763" Type="http://schemas.openxmlformats.org/officeDocument/2006/relationships/hyperlink" Target="mailto:ker_omar@hotmai.fr?bcc=6914917@bcc.hubspot.com" TargetMode="External"/><Relationship Id="rId1352" Type="http://schemas.openxmlformats.org/officeDocument/2006/relationships/hyperlink" Target="mailto:absidiq@eim.ae?bcc=6914917@bcc.hubspot.com" TargetMode="External"/><Relationship Id="rId29" Type="http://schemas.openxmlformats.org/officeDocument/2006/relationships/hyperlink" Target="mailto:reema.hamade@gmail.com?bcc=6914917@bcc.hubspot.com" TargetMode="External"/><Relationship Id="rId762" Type="http://schemas.openxmlformats.org/officeDocument/2006/relationships/hyperlink" Target="mailto:musaabfaisal@gmail.com?bcc=6914917@bcc.hubspot.com" TargetMode="External"/><Relationship Id="rId1353" Type="http://schemas.openxmlformats.org/officeDocument/2006/relationships/hyperlink" Target="mailto:s.djerah@yahoo.com?bcc=6914917@bcc.hubspot.com" TargetMode="External"/><Relationship Id="rId761" Type="http://schemas.openxmlformats.org/officeDocument/2006/relationships/hyperlink" Target="mailto:mumurc80@gmail.com?bcc=6914917@bcc.hubspot.com" TargetMode="External"/><Relationship Id="rId1354" Type="http://schemas.openxmlformats.org/officeDocument/2006/relationships/hyperlink" Target="mailto:lufulwaboprincerichard@gmail.com?bcc=6914917@bcc.hubspot.com" TargetMode="External"/><Relationship Id="rId760" Type="http://schemas.openxmlformats.org/officeDocument/2006/relationships/hyperlink" Target="mailto:marwan_m84@hotmail.con?bcc=6914917@bcc.hubspot.com" TargetMode="External"/><Relationship Id="rId1355" Type="http://schemas.openxmlformats.org/officeDocument/2006/relationships/hyperlink" Target="mailto:mhmari@hotmail.com?bcc=6914917@bcc.hubspot.com" TargetMode="External"/><Relationship Id="rId1345" Type="http://schemas.openxmlformats.org/officeDocument/2006/relationships/hyperlink" Target="mailto:kumar65745@gmail.com?bcc=6914917@bcc.hubspot.com" TargetMode="External"/><Relationship Id="rId1346" Type="http://schemas.openxmlformats.org/officeDocument/2006/relationships/hyperlink" Target="mailto:khalid_alzeer@hotmail.com?bcc=6914917@bcc.hubspot.com" TargetMode="External"/><Relationship Id="rId1347" Type="http://schemas.openxmlformats.org/officeDocument/2006/relationships/hyperlink" Target="mailto:elgoharyf@gmail.com?bcc=6914917@bcc.hubspot.com" TargetMode="External"/><Relationship Id="rId1348" Type="http://schemas.openxmlformats.org/officeDocument/2006/relationships/hyperlink" Target="mailto:amar.ds.amar@gmail.com?bcc=6914917@bcc.hubspot.com" TargetMode="External"/><Relationship Id="rId11" Type="http://schemas.openxmlformats.org/officeDocument/2006/relationships/hyperlink" Target="mailto:AhmedAAlneyadi@hotmail.com?bcc=6914917@bcc.hubspot.com" TargetMode="External"/><Relationship Id="rId1349" Type="http://schemas.openxmlformats.org/officeDocument/2006/relationships/hyperlink" Target="mailto:foalameri@gmail.com?bcc=6914917@bcc.hubspot.com" TargetMode="External"/><Relationship Id="rId10" Type="http://schemas.openxmlformats.org/officeDocument/2006/relationships/hyperlink" Target="mailto:reeman112233@gmail.com?bcc=6914917@bcc.hubspot.com" TargetMode="External"/><Relationship Id="rId13" Type="http://schemas.openxmlformats.org/officeDocument/2006/relationships/hyperlink" Target="mailto:priya06.kr@gmail.com?bcc=6914917@bcc.hubspot.com" TargetMode="External"/><Relationship Id="rId12" Type="http://schemas.openxmlformats.org/officeDocument/2006/relationships/hyperlink" Target="mailto:m.tahirsaeed@yahoo.com?bcc=6914917@bcc.hubspot.com" TargetMode="External"/><Relationship Id="rId756" Type="http://schemas.openxmlformats.org/officeDocument/2006/relationships/hyperlink" Target="mailto:nabeel.shabbir@gmail.com?bcc=6914917@bcc.hubspot.com" TargetMode="External"/><Relationship Id="rId755" Type="http://schemas.openxmlformats.org/officeDocument/2006/relationships/hyperlink" Target="mailto:oladipupoolayinka23@yahoo.com?bcc=6914917@bcc.hubspot.com" TargetMode="External"/><Relationship Id="rId754" Type="http://schemas.openxmlformats.org/officeDocument/2006/relationships/hyperlink" Target="mailto:devesh4d@gmail.com?bcc=6914917@bcc.hubspot.com" TargetMode="External"/><Relationship Id="rId753" Type="http://schemas.openxmlformats.org/officeDocument/2006/relationships/hyperlink" Target="mailto:amermotors66@gmail.com?bcc=6914917@bcc.hubspot.com" TargetMode="External"/><Relationship Id="rId759" Type="http://schemas.openxmlformats.org/officeDocument/2006/relationships/hyperlink" Target="mailto:saeed_abualkhair@yahoo.co.uk?bcc=6914917@bcc.hubspot.com" TargetMode="External"/><Relationship Id="rId758" Type="http://schemas.openxmlformats.org/officeDocument/2006/relationships/hyperlink" Target="mailto:manish.nagpal111@gmail.com?bcc=6914917@bcc.hubspot.com" TargetMode="External"/><Relationship Id="rId757" Type="http://schemas.openxmlformats.org/officeDocument/2006/relationships/hyperlink" Target="mailto:karim.m.badr@gmail.com?bcc=6914917@bcc.hubspot.com" TargetMode="External"/><Relationship Id="rId15" Type="http://schemas.openxmlformats.org/officeDocument/2006/relationships/hyperlink" Target="mailto:x_z_66@hotmail.com?bcc=6914917@bcc.hubspot.com" TargetMode="External"/><Relationship Id="rId14" Type="http://schemas.openxmlformats.org/officeDocument/2006/relationships/hyperlink" Target="mailto:purpleblue61@yahoo.com?bcc=6914917@bcc.hubspot.com" TargetMode="External"/><Relationship Id="rId17" Type="http://schemas.openxmlformats.org/officeDocument/2006/relationships/hyperlink" Target="mailto:mohdtrwa@gmail.com?bcc=6914917@bcc.hubspot.com" TargetMode="External"/><Relationship Id="rId16" Type="http://schemas.openxmlformats.org/officeDocument/2006/relationships/hyperlink" Target="mailto:basharazzam@gmail.com?bcc=6914917@bcc.hubspot.com" TargetMode="External"/><Relationship Id="rId1340" Type="http://schemas.openxmlformats.org/officeDocument/2006/relationships/hyperlink" Target="mailto:eng.manzoor123@gmail.com?bcc=6914917@bcc.hubspot.com" TargetMode="External"/><Relationship Id="rId19" Type="http://schemas.openxmlformats.org/officeDocument/2006/relationships/hyperlink" Target="mailto:najeeb.feat@gmail.com?bcc=6914917@bcc.hubspot.com" TargetMode="External"/><Relationship Id="rId752" Type="http://schemas.openxmlformats.org/officeDocument/2006/relationships/hyperlink" Target="mailto:nawaf6020@hotmail.com?bcc=6914917@bcc.hubspot.com" TargetMode="External"/><Relationship Id="rId1341" Type="http://schemas.openxmlformats.org/officeDocument/2006/relationships/hyperlink" Target="mailto:avignon.kw@gmail.com?bcc=6914917@bcc.hubspot.com" TargetMode="External"/><Relationship Id="rId18" Type="http://schemas.openxmlformats.org/officeDocument/2006/relationships/hyperlink" Target="mailto:salem3337762@fmail.com?bcc=6914917@bcc.hubspot.com" TargetMode="External"/><Relationship Id="rId751" Type="http://schemas.openxmlformats.org/officeDocument/2006/relationships/hyperlink" Target="mailto:noora.alsaffar123@gmail.com?bcc=6914917@bcc.hubspot.com" TargetMode="External"/><Relationship Id="rId1342" Type="http://schemas.openxmlformats.org/officeDocument/2006/relationships/hyperlink" Target="mailto:visionarybruce@gmail.com?bcc=6914917@bcc.hubspot.com" TargetMode="External"/><Relationship Id="rId750" Type="http://schemas.openxmlformats.org/officeDocument/2006/relationships/hyperlink" Target="mailto:mansourfani1988@gmail.com?bcc=6914917@bcc.hubspot.com" TargetMode="External"/><Relationship Id="rId1343" Type="http://schemas.openxmlformats.org/officeDocument/2006/relationships/hyperlink" Target="mailto:hollanduae@hotmail.com?bcc=6914917@bcc.hubspot.com" TargetMode="External"/><Relationship Id="rId1344" Type="http://schemas.openxmlformats.org/officeDocument/2006/relationships/hyperlink" Target="mailto:moiez@hotmail.com?bcc=6914917@bcc.hubspot.com" TargetMode="External"/><Relationship Id="rId84" Type="http://schemas.openxmlformats.org/officeDocument/2006/relationships/hyperlink" Target="mailto:yastv@eim.ae?bcc=6914917@bcc.hubspot.com" TargetMode="External"/><Relationship Id="rId83" Type="http://schemas.openxmlformats.org/officeDocument/2006/relationships/hyperlink" Target="mailto:danmerf@yahoo.com?bcc=6914917@bcc.hubspot.com" TargetMode="External"/><Relationship Id="rId86" Type="http://schemas.openxmlformats.org/officeDocument/2006/relationships/hyperlink" Target="mailto:ramziwat@yahoo.com?bcc=6914917@bcc.hubspot.com" TargetMode="External"/><Relationship Id="rId85" Type="http://schemas.openxmlformats.org/officeDocument/2006/relationships/hyperlink" Target="mailto:asma_alwehedi@hotmail.com?bcc=6914917@bcc.hubspot.com" TargetMode="External"/><Relationship Id="rId88" Type="http://schemas.openxmlformats.org/officeDocument/2006/relationships/hyperlink" Target="mailto:adeebmalayil@gmail.com?bcc=6914917@bcc.hubspot.com" TargetMode="External"/><Relationship Id="rId87" Type="http://schemas.openxmlformats.org/officeDocument/2006/relationships/hyperlink" Target="mailto:zoom2007_050@hotmail.com?bcc=6914917@bcc.hubspot.com" TargetMode="External"/><Relationship Id="rId89" Type="http://schemas.openxmlformats.org/officeDocument/2006/relationships/hyperlink" Target="mailto:911mashari@gmail.com?bcc=6914917@bcc.hubspot.com" TargetMode="External"/><Relationship Id="rId709" Type="http://schemas.openxmlformats.org/officeDocument/2006/relationships/hyperlink" Target="mailto:mohammed.alsaud128@gmail.com?bcc=6914917@bcc.hubspot.com" TargetMode="External"/><Relationship Id="rId708" Type="http://schemas.openxmlformats.org/officeDocument/2006/relationships/hyperlink" Target="mailto:mobarout@hotmail.com?bcc=6914917@bcc.hubspot.com" TargetMode="External"/><Relationship Id="rId707" Type="http://schemas.openxmlformats.org/officeDocument/2006/relationships/hyperlink" Target="mailto:ahmad1561980@yahoo.com?bcc=6914917@bcc.hubspot.com" TargetMode="External"/><Relationship Id="rId706" Type="http://schemas.openxmlformats.org/officeDocument/2006/relationships/hyperlink" Target="mailto:akeel779@hotmail.com?bcc=6914917@bcc.hubspot.com" TargetMode="External"/><Relationship Id="rId80" Type="http://schemas.openxmlformats.org/officeDocument/2006/relationships/hyperlink" Target="mailto:ben.rozario@gmail.com?bcc=6914917@bcc.hubspot.com" TargetMode="External"/><Relationship Id="rId82" Type="http://schemas.openxmlformats.org/officeDocument/2006/relationships/hyperlink" Target="mailto:majed-a@live.com?bcc=6914917@bcc.hubspot.com" TargetMode="External"/><Relationship Id="rId81" Type="http://schemas.openxmlformats.org/officeDocument/2006/relationships/hyperlink" Target="mailto:bamsam2016@gmail.com?bcc=6914917@bcc.hubspot.com" TargetMode="External"/><Relationship Id="rId701" Type="http://schemas.openxmlformats.org/officeDocument/2006/relationships/hyperlink" Target="mailto:aan.mak@hotmail.com?bcc=6914917@bcc.hubspot.com" TargetMode="External"/><Relationship Id="rId700" Type="http://schemas.openxmlformats.org/officeDocument/2006/relationships/hyperlink" Target="mailto:megadubai@gmail.com?bcc=6914917@bcc.hubspot.com" TargetMode="External"/><Relationship Id="rId705" Type="http://schemas.openxmlformats.org/officeDocument/2006/relationships/hyperlink" Target="mailto:jhkuio@hotmail.com?bcc=6914917@bcc.hubspot.com" TargetMode="External"/><Relationship Id="rId704" Type="http://schemas.openxmlformats.org/officeDocument/2006/relationships/hyperlink" Target="mailto:manishkakkar1977@yahoo.com?bcc=6914917@bcc.hubspot.com" TargetMode="External"/><Relationship Id="rId703" Type="http://schemas.openxmlformats.org/officeDocument/2006/relationships/hyperlink" Target="mailto:ziad62@gmail.com?bcc=6914917@bcc.hubspot.com" TargetMode="External"/><Relationship Id="rId702" Type="http://schemas.openxmlformats.org/officeDocument/2006/relationships/hyperlink" Target="mailto:falconheart669@hotmail.com?bcc=6914917@bcc.hubspot.com" TargetMode="External"/><Relationship Id="rId73" Type="http://schemas.openxmlformats.org/officeDocument/2006/relationships/hyperlink" Target="mailto:shaijaz@gmail.com?bcc=6914917@bcc.hubspot.com" TargetMode="External"/><Relationship Id="rId72" Type="http://schemas.openxmlformats.org/officeDocument/2006/relationships/hyperlink" Target="mailto:robelyntupas87@gmail.com?bcc=6914917@bcc.hubspot.com" TargetMode="External"/><Relationship Id="rId75" Type="http://schemas.openxmlformats.org/officeDocument/2006/relationships/hyperlink" Target="mailto:laurajabbour@gmail.com?bcc=6914917@bcc.hubspot.com" TargetMode="External"/><Relationship Id="rId74" Type="http://schemas.openxmlformats.org/officeDocument/2006/relationships/hyperlink" Target="mailto:mmuganyizi@gmail.com?bcc=6914917@bcc.hubspot.com" TargetMode="External"/><Relationship Id="rId77" Type="http://schemas.openxmlformats.org/officeDocument/2006/relationships/hyperlink" Target="mailto:robscotty@hotmail.com?bcc=6914917@bcc.hubspot.com" TargetMode="External"/><Relationship Id="rId76" Type="http://schemas.openxmlformats.org/officeDocument/2006/relationships/hyperlink" Target="mailto:aammr1313@gmail.com?bcc=6914917@bcc.hubspot.com" TargetMode="External"/><Relationship Id="rId79" Type="http://schemas.openxmlformats.org/officeDocument/2006/relationships/hyperlink" Target="mailto:Abdelrahim@alrikaz.com.sa?bcc=6914917@bcc.hubspot.com" TargetMode="External"/><Relationship Id="rId78" Type="http://schemas.openxmlformats.org/officeDocument/2006/relationships/hyperlink" Target="mailto:mohamedawss7@gmail.com?bcc=6914917@bcc.hubspot.com" TargetMode="External"/><Relationship Id="rId71" Type="http://schemas.openxmlformats.org/officeDocument/2006/relationships/hyperlink" Target="mailto:rabab.4ever@hotmail.com?bcc=6914917@bcc.hubspot.com" TargetMode="External"/><Relationship Id="rId70" Type="http://schemas.openxmlformats.org/officeDocument/2006/relationships/hyperlink" Target="mailto:ammar.nezam1981@hotmail.com?bcc=6914917@bcc.hubspot.com" TargetMode="External"/><Relationship Id="rId62" Type="http://schemas.openxmlformats.org/officeDocument/2006/relationships/hyperlink" Target="mailto:imranmetchant01@hotmail.com?bcc=6914917@bcc.hubspot.com" TargetMode="External"/><Relationship Id="rId1312" Type="http://schemas.openxmlformats.org/officeDocument/2006/relationships/hyperlink" Target="mailto:ac_blue03@yahoo.com?bcc=6914917@bcc.hubspot.com" TargetMode="External"/><Relationship Id="rId61" Type="http://schemas.openxmlformats.org/officeDocument/2006/relationships/hyperlink" Target="mailto:bolbol10637@hotmail.com?bcc=6914917@bcc.hubspot.com" TargetMode="External"/><Relationship Id="rId1313" Type="http://schemas.openxmlformats.org/officeDocument/2006/relationships/hyperlink" Target="mailto:anitano1@hotmail.com?bcc=6914917@bcc.hubspot.com" TargetMode="External"/><Relationship Id="rId64" Type="http://schemas.openxmlformats.org/officeDocument/2006/relationships/hyperlink" Target="mailto:bo_saif007@hotmail.com?bcc=6914917@bcc.hubspot.com" TargetMode="External"/><Relationship Id="rId1314" Type="http://schemas.openxmlformats.org/officeDocument/2006/relationships/hyperlink" Target="mailto:aakibrahim@gmail.com?bcc=6914917@bcc.hubspot.com" TargetMode="External"/><Relationship Id="rId63" Type="http://schemas.openxmlformats.org/officeDocument/2006/relationships/hyperlink" Target="mailto:musung1210@hotmail.com?bcc=6914917@bcc.hubspot.com" TargetMode="External"/><Relationship Id="rId1315" Type="http://schemas.openxmlformats.org/officeDocument/2006/relationships/hyperlink" Target="mailto:ricky@barmccgroup.com?bcc=6914917@bcc.hubspot.com" TargetMode="External"/><Relationship Id="rId66" Type="http://schemas.openxmlformats.org/officeDocument/2006/relationships/hyperlink" Target="mailto:alkataff2000@yahoo.com?bcc=6914917@bcc.hubspot.com" TargetMode="External"/><Relationship Id="rId1316" Type="http://schemas.openxmlformats.org/officeDocument/2006/relationships/hyperlink" Target="mailto:sajisakkalifara@gmail.com?bcc=6914917@bcc.hubspot.com" TargetMode="External"/><Relationship Id="rId65" Type="http://schemas.openxmlformats.org/officeDocument/2006/relationships/hyperlink" Target="mailto:mhfulad@gmail.com?bcc=6914917@bcc.hubspot.com" TargetMode="External"/><Relationship Id="rId1317" Type="http://schemas.openxmlformats.org/officeDocument/2006/relationships/hyperlink" Target="mailto:kate.jolly@icloud.com?bcc=6914917@bcc.hubspot.com" TargetMode="External"/><Relationship Id="rId68" Type="http://schemas.openxmlformats.org/officeDocument/2006/relationships/hyperlink" Target="mailto:amermotors66@gmail.com?bcc=6914917@bcc.hubspot.com" TargetMode="External"/><Relationship Id="rId1318" Type="http://schemas.openxmlformats.org/officeDocument/2006/relationships/hyperlink" Target="mailto:sneha_dhuri2006@yahoo.com?bcc=6914917@bcc.hubspot.com" TargetMode="External"/><Relationship Id="rId67" Type="http://schemas.openxmlformats.org/officeDocument/2006/relationships/hyperlink" Target="mailto:m.s.6497790@gmail.com?bcc=6914917@bcc.hubspot.com" TargetMode="External"/><Relationship Id="rId1319" Type="http://schemas.openxmlformats.org/officeDocument/2006/relationships/hyperlink" Target="mailto:kashishs.gagwani@gmail.com?bcc=6914917@bcc.hubspot.com" TargetMode="External"/><Relationship Id="rId729" Type="http://schemas.openxmlformats.org/officeDocument/2006/relationships/hyperlink" Target="mailto:branddevilliers@gmail.com?bcc=6914917@bcc.hubspot.com" TargetMode="External"/><Relationship Id="rId728" Type="http://schemas.openxmlformats.org/officeDocument/2006/relationships/hyperlink" Target="mailto:hturki79@yahoo.com?bcc=6914917@bcc.hubspot.com" TargetMode="External"/><Relationship Id="rId60" Type="http://schemas.openxmlformats.org/officeDocument/2006/relationships/hyperlink" Target="mailto:abdulla190b@gmail.com?bcc=6914917@bcc.hubspot.com" TargetMode="External"/><Relationship Id="rId723" Type="http://schemas.openxmlformats.org/officeDocument/2006/relationships/hyperlink" Target="mailto:gamal1981@gmail.com?bcc=6914917@bcc.hubspot.com" TargetMode="External"/><Relationship Id="rId722" Type="http://schemas.openxmlformats.org/officeDocument/2006/relationships/hyperlink" Target="mailto:heshamatieh@yahoo.com?bcc=6914917@bcc.hubspot.com" TargetMode="External"/><Relationship Id="rId721" Type="http://schemas.openxmlformats.org/officeDocument/2006/relationships/hyperlink" Target="mailto:alwaysluvme63.sat@gmail.com?bcc=6914917@bcc.hubspot.com" TargetMode="External"/><Relationship Id="rId720" Type="http://schemas.openxmlformats.org/officeDocument/2006/relationships/hyperlink" Target="mailto:alaa-designer@hotmail.com?bcc=6914917@bcc.hubspot.com" TargetMode="External"/><Relationship Id="rId727" Type="http://schemas.openxmlformats.org/officeDocument/2006/relationships/hyperlink" Target="mailto:a-m-alj@hotmail.com?bcc=6914917@bcc.hubspot.com" TargetMode="External"/><Relationship Id="rId726" Type="http://schemas.openxmlformats.org/officeDocument/2006/relationships/hyperlink" Target="mailto:uae.2727@hotmail.com?bcc=6914917@bcc.hubspot.com" TargetMode="External"/><Relationship Id="rId725" Type="http://schemas.openxmlformats.org/officeDocument/2006/relationships/hyperlink" Target="mailto:Naheedalameri8@gmail.com?bcc=6914917@bcc.hubspot.com" TargetMode="External"/><Relationship Id="rId724" Type="http://schemas.openxmlformats.org/officeDocument/2006/relationships/hyperlink" Target="mailto:mrobinsonzx@gmail.com?bcc=6914917@bcc.hubspot.com" TargetMode="External"/><Relationship Id="rId69" Type="http://schemas.openxmlformats.org/officeDocument/2006/relationships/hyperlink" Target="mailto:peterrayan@hotmail.com?bcc=6914917@bcc.hubspot.com" TargetMode="External"/><Relationship Id="rId1310" Type="http://schemas.openxmlformats.org/officeDocument/2006/relationships/hyperlink" Target="mailto:tom1one35@gmail.com?bcc=6914917@bcc.hubspot.com" TargetMode="External"/><Relationship Id="rId1311" Type="http://schemas.openxmlformats.org/officeDocument/2006/relationships/hyperlink" Target="mailto:waleed_imam@yahoo.com?bcc=6914917@bcc.hubspot.com" TargetMode="External"/><Relationship Id="rId51" Type="http://schemas.openxmlformats.org/officeDocument/2006/relationships/hyperlink" Target="mailto:2000pilot@gmail.com?bcc=6914917@bcc.hubspot.com" TargetMode="External"/><Relationship Id="rId1301" Type="http://schemas.openxmlformats.org/officeDocument/2006/relationships/hyperlink" Target="mailto:ramzanmoh23@gmail.com?bcc=6914917@bcc.hubspot.com" TargetMode="External"/><Relationship Id="rId50" Type="http://schemas.openxmlformats.org/officeDocument/2006/relationships/hyperlink" Target="mailto:alsawad2@hotmail.com?bcc=6914917@bcc.hubspot.com" TargetMode="External"/><Relationship Id="rId1302" Type="http://schemas.openxmlformats.org/officeDocument/2006/relationships/hyperlink" Target="mailto:naina_tiwari@outlook.com?bcc=6914917@bcc.hubspot.com" TargetMode="External"/><Relationship Id="rId53" Type="http://schemas.openxmlformats.org/officeDocument/2006/relationships/hyperlink" Target="mailto:majk191918@gmail.com?bcc=6914917@bcc.hubspot.com" TargetMode="External"/><Relationship Id="rId1303" Type="http://schemas.openxmlformats.org/officeDocument/2006/relationships/hyperlink" Target="mailto:chemshm@gmail.com?bcc=6914917@bcc.hubspot.com" TargetMode="External"/><Relationship Id="rId52" Type="http://schemas.openxmlformats.org/officeDocument/2006/relationships/hyperlink" Target="mailto:nalmezaini@gmail.com?bcc=6914917@bcc.hubspot.com" TargetMode="External"/><Relationship Id="rId1304" Type="http://schemas.openxmlformats.org/officeDocument/2006/relationships/hyperlink" Target="mailto:najeemthajudeen@outlook.com?bcc=6914917@bcc.hubspot.com" TargetMode="External"/><Relationship Id="rId55" Type="http://schemas.openxmlformats.org/officeDocument/2006/relationships/hyperlink" Target="mailto:mashwhor@icloud.com?bcc=6914917@bcc.hubspot.com" TargetMode="External"/><Relationship Id="rId1305" Type="http://schemas.openxmlformats.org/officeDocument/2006/relationships/hyperlink" Target="mailto:navs76@ymail.com?bcc=6914917@bcc.hubspot.com" TargetMode="External"/><Relationship Id="rId54" Type="http://schemas.openxmlformats.org/officeDocument/2006/relationships/hyperlink" Target="mailto:nadeemsheikh111@yahoo.com?bcc=6914917@bcc.hubspot.com" TargetMode="External"/><Relationship Id="rId1306" Type="http://schemas.openxmlformats.org/officeDocument/2006/relationships/hyperlink" Target="mailto:esam4907@gmail.com?bcc=6914917@bcc.hubspot.com" TargetMode="External"/><Relationship Id="rId57" Type="http://schemas.openxmlformats.org/officeDocument/2006/relationships/hyperlink" Target="mailto:ayeshamee@yahoo.co.uk?bcc=6914917@bcc.hubspot.com" TargetMode="External"/><Relationship Id="rId1307" Type="http://schemas.openxmlformats.org/officeDocument/2006/relationships/hyperlink" Target="mailto:bctsunderbir@gmail.com?bcc=6914917@bcc.hubspot.com" TargetMode="External"/><Relationship Id="rId56" Type="http://schemas.openxmlformats.org/officeDocument/2006/relationships/hyperlink" Target="mailto:fedoo_@hotmail.com?bcc=6914917@bcc.hubspot.com" TargetMode="External"/><Relationship Id="rId1308" Type="http://schemas.openxmlformats.org/officeDocument/2006/relationships/hyperlink" Target="mailto:jordanthia@gmail.com?bcc=6914917@bcc.hubspot.com" TargetMode="External"/><Relationship Id="rId1309" Type="http://schemas.openxmlformats.org/officeDocument/2006/relationships/hyperlink" Target="mailto:shakeelmri@yahoo.com?bcc=6914917@bcc.hubspot.com" TargetMode="External"/><Relationship Id="rId719" Type="http://schemas.openxmlformats.org/officeDocument/2006/relationships/hyperlink" Target="mailto:rashid.55nt@gmail.com?bcc=6914917@bcc.hubspot.com" TargetMode="External"/><Relationship Id="rId718" Type="http://schemas.openxmlformats.org/officeDocument/2006/relationships/hyperlink" Target="mailto:khaledyassin99@gmail.com?bcc=6914917@bcc.hubspot.com" TargetMode="External"/><Relationship Id="rId717" Type="http://schemas.openxmlformats.org/officeDocument/2006/relationships/hyperlink" Target="mailto:aakbr@kau.edu.sa?bcc=6914917@bcc.hubspot.com" TargetMode="External"/><Relationship Id="rId712" Type="http://schemas.openxmlformats.org/officeDocument/2006/relationships/hyperlink" Target="mailto:nader.nahdi@hotmail.com?bcc=6914917@bcc.hubspot.com" TargetMode="External"/><Relationship Id="rId711" Type="http://schemas.openxmlformats.org/officeDocument/2006/relationships/hyperlink" Target="mailto:shawarby@hotmail.com?bcc=6914917@bcc.hubspot.com" TargetMode="External"/><Relationship Id="rId710" Type="http://schemas.openxmlformats.org/officeDocument/2006/relationships/hyperlink" Target="mailto:kohliad@gmail.com?bcc=6914917@bcc.hubspot.com" TargetMode="External"/><Relationship Id="rId716" Type="http://schemas.openxmlformats.org/officeDocument/2006/relationships/hyperlink" Target="mailto:m_al_zarooni@hotmail.com?bcc=6914917@bcc.hubspot.com" TargetMode="External"/><Relationship Id="rId715" Type="http://schemas.openxmlformats.org/officeDocument/2006/relationships/hyperlink" Target="mailto:jghh@hotmail.com?bcc=6914917@bcc.hubspot.com" TargetMode="External"/><Relationship Id="rId714" Type="http://schemas.openxmlformats.org/officeDocument/2006/relationships/hyperlink" Target="mailto:mohmdfiaz99@gmail.com?bcc=6914917@bcc.hubspot.com" TargetMode="External"/><Relationship Id="rId713" Type="http://schemas.openxmlformats.org/officeDocument/2006/relationships/hyperlink" Target="mailto:saleh1243@gmail.com?bcc=6914917@bcc.hubspot.com" TargetMode="External"/><Relationship Id="rId59" Type="http://schemas.openxmlformats.org/officeDocument/2006/relationships/hyperlink" Target="mailto:totasuliman88@gmail.com?bcc=6914917@bcc.hubspot.com" TargetMode="External"/><Relationship Id="rId58" Type="http://schemas.openxmlformats.org/officeDocument/2006/relationships/hyperlink" Target="mailto:mnaji64@hotmail.com?bcc=6914917@bcc.hubspot.com" TargetMode="External"/><Relationship Id="rId1300" Type="http://schemas.openxmlformats.org/officeDocument/2006/relationships/hyperlink" Target="mailto:sanithmos@yahoo.com?bcc=6914917@bcc.hubspot.com" TargetMode="External"/><Relationship Id="rId349" Type="http://schemas.openxmlformats.org/officeDocument/2006/relationships/hyperlink" Target="mailto:georgeabukassem@hotmail.com?bcc=6914917@bcc.hubspot.com" TargetMode="External"/><Relationship Id="rId348" Type="http://schemas.openxmlformats.org/officeDocument/2006/relationships/hyperlink" Target="mailto:Poush.Vyas@gmail.com?bcc=6914917@bcc.hubspot.com" TargetMode="External"/><Relationship Id="rId347" Type="http://schemas.openxmlformats.org/officeDocument/2006/relationships/hyperlink" Target="mailto:lothdeguia@yahoo.com?bcc=6914917@bcc.hubspot.com" TargetMode="External"/><Relationship Id="rId346" Type="http://schemas.openxmlformats.org/officeDocument/2006/relationships/hyperlink" Target="mailto:caprateekmehra@gmail.com?bcc=6914917@bcc.hubspot.com" TargetMode="External"/><Relationship Id="rId341" Type="http://schemas.openxmlformats.org/officeDocument/2006/relationships/hyperlink" Target="mailto:anu-ashu@live.com?bcc=6914917@bcc.hubspot.com" TargetMode="External"/><Relationship Id="rId340" Type="http://schemas.openxmlformats.org/officeDocument/2006/relationships/hyperlink" Target="mailto:marwan_alzaabi@hotmail.com?bcc=6914917@bcc.hubspot.com" TargetMode="External"/><Relationship Id="rId345" Type="http://schemas.openxmlformats.org/officeDocument/2006/relationships/hyperlink" Target="mailto:fanta9379@hotmail.com?bcc=6914917@bcc.hubspot.com" TargetMode="External"/><Relationship Id="rId344" Type="http://schemas.openxmlformats.org/officeDocument/2006/relationships/hyperlink" Target="mailto:mcdeep.deepak@gmail.com?bcc=6914917@bcc.hubspot.com" TargetMode="External"/><Relationship Id="rId343" Type="http://schemas.openxmlformats.org/officeDocument/2006/relationships/hyperlink" Target="mailto:bhawna.rani88@yahoo.com?bcc=6914917@bcc.hubspot.com" TargetMode="External"/><Relationship Id="rId342" Type="http://schemas.openxmlformats.org/officeDocument/2006/relationships/hyperlink" Target="mailto:groupalabrar1991@gmail.com?bcc=6914917@bcc.hubspot.com" TargetMode="External"/><Relationship Id="rId338" Type="http://schemas.openxmlformats.org/officeDocument/2006/relationships/hyperlink" Target="mailto:q83emee@gmail.com?bcc=6914917@bcc.hubspot.com" TargetMode="External"/><Relationship Id="rId337" Type="http://schemas.openxmlformats.org/officeDocument/2006/relationships/hyperlink" Target="mailto:sandra@gagliardi.ae?bcc=6914917@bcc.hubspot.com" TargetMode="External"/><Relationship Id="rId336" Type="http://schemas.openxmlformats.org/officeDocument/2006/relationships/hyperlink" Target="mailto:vaziri77@yahoo.com?bcc=6914917@bcc.hubspot.com" TargetMode="External"/><Relationship Id="rId335" Type="http://schemas.openxmlformats.org/officeDocument/2006/relationships/hyperlink" Target="mailto:ABIDHUSSAIN_001@YAHOO.CA?bcc=6914917@bcc.hubspot.com" TargetMode="External"/><Relationship Id="rId339" Type="http://schemas.openxmlformats.org/officeDocument/2006/relationships/hyperlink" Target="mailto:anu.raj78@ymail.com?bcc=6914917@bcc.hubspot.com" TargetMode="External"/><Relationship Id="rId330" Type="http://schemas.openxmlformats.org/officeDocument/2006/relationships/hyperlink" Target="mailto:boss.sommers@gmail.com?bcc=6914917@bcc.hubspot.com" TargetMode="External"/><Relationship Id="rId334" Type="http://schemas.openxmlformats.org/officeDocument/2006/relationships/hyperlink" Target="mailto:sultan-sharaf@hotmail.com?bcc=6914917@bcc.hubspot.com" TargetMode="External"/><Relationship Id="rId333" Type="http://schemas.openxmlformats.org/officeDocument/2006/relationships/hyperlink" Target="mailto:matsuoyama29@gmail.com?bcc=6914917@bcc.hubspot.com" TargetMode="External"/><Relationship Id="rId332" Type="http://schemas.openxmlformats.org/officeDocument/2006/relationships/hyperlink" Target="mailto:yaser_maklai@hotmail.com?bcc=6914917@bcc.hubspot.com" TargetMode="External"/><Relationship Id="rId331" Type="http://schemas.openxmlformats.org/officeDocument/2006/relationships/hyperlink" Target="mailto:medhatali78@hotmail.com?bcc=6914917@bcc.hubspot.com" TargetMode="External"/><Relationship Id="rId370" Type="http://schemas.openxmlformats.org/officeDocument/2006/relationships/hyperlink" Target="mailto:goveas24@gmail.com?bcc=6914917@bcc.hubspot.com" TargetMode="External"/><Relationship Id="rId369" Type="http://schemas.openxmlformats.org/officeDocument/2006/relationships/hyperlink" Target="mailto:rabickm@gmail.com?bcc=6914917@bcc.hubspot.com" TargetMode="External"/><Relationship Id="rId368" Type="http://schemas.openxmlformats.org/officeDocument/2006/relationships/hyperlink" Target="mailto:almajid1@hotmail.com?bcc=6914917@bcc.hubspot.com" TargetMode="External"/><Relationship Id="rId363" Type="http://schemas.openxmlformats.org/officeDocument/2006/relationships/hyperlink" Target="mailto:rizwankhimani2005@gmail.com?bcc=6914917@bcc.hubspot.com" TargetMode="External"/><Relationship Id="rId362" Type="http://schemas.openxmlformats.org/officeDocument/2006/relationships/hyperlink" Target="mailto:naveenviji@gmail.com?bcc=6914917@bcc.hubspot.com" TargetMode="External"/><Relationship Id="rId361" Type="http://schemas.openxmlformats.org/officeDocument/2006/relationships/hyperlink" Target="mailto:tarighj@gmail.com?bcc=6914917@bcc.hubspot.com" TargetMode="External"/><Relationship Id="rId360" Type="http://schemas.openxmlformats.org/officeDocument/2006/relationships/hyperlink" Target="mailto:madelainehiggs@gmail.com?bcc=6914917@bcc.hubspot.com" TargetMode="External"/><Relationship Id="rId367" Type="http://schemas.openxmlformats.org/officeDocument/2006/relationships/hyperlink" Target="mailto:hasi@worldstarholding.com?bcc=6914917@bcc.hubspot.com" TargetMode="External"/><Relationship Id="rId366" Type="http://schemas.openxmlformats.org/officeDocument/2006/relationships/hyperlink" Target="mailto:wissam_sd@live.com?bcc=6914917@bcc.hubspot.com" TargetMode="External"/><Relationship Id="rId365" Type="http://schemas.openxmlformats.org/officeDocument/2006/relationships/hyperlink" Target="mailto:shashikanth@outlook.in?bcc=6914917@bcc.hubspot.com" TargetMode="External"/><Relationship Id="rId364" Type="http://schemas.openxmlformats.org/officeDocument/2006/relationships/hyperlink" Target="mailto:diptibhorgay@gmail.com?bcc=6914917@bcc.hubspot.com" TargetMode="External"/><Relationship Id="rId95" Type="http://schemas.openxmlformats.org/officeDocument/2006/relationships/hyperlink" Target="mailto:ali.syedmasood@gmail.com?bcc=6914917@bcc.hubspot.com" TargetMode="External"/><Relationship Id="rId94" Type="http://schemas.openxmlformats.org/officeDocument/2006/relationships/hyperlink" Target="mailto:khalileid214@gmail.com?bcc=6914917@bcc.hubspot.com" TargetMode="External"/><Relationship Id="rId97" Type="http://schemas.openxmlformats.org/officeDocument/2006/relationships/hyperlink" Target="mailto:ahr.aldhaheri@hotmail.com?bcc=6914917@bcc.hubspot.com" TargetMode="External"/><Relationship Id="rId96" Type="http://schemas.openxmlformats.org/officeDocument/2006/relationships/hyperlink" Target="mailto:noumy91@hotmail.com?bcc=6914917@bcc.hubspot.com" TargetMode="External"/><Relationship Id="rId99" Type="http://schemas.openxmlformats.org/officeDocument/2006/relationships/hyperlink" Target="mailto:dr_alsulami@live.com?bcc=6914917@bcc.hubspot.com" TargetMode="External"/><Relationship Id="rId98" Type="http://schemas.openxmlformats.org/officeDocument/2006/relationships/hyperlink" Target="mailto:mashal2222@icloud.com?bcc=6914917@bcc.hubspot.com" TargetMode="External"/><Relationship Id="rId91" Type="http://schemas.openxmlformats.org/officeDocument/2006/relationships/hyperlink" Target="mailto:modyabdullah@hotmail.com?bcc=6914917@bcc.hubspot.com" TargetMode="External"/><Relationship Id="rId90" Type="http://schemas.openxmlformats.org/officeDocument/2006/relationships/hyperlink" Target="mailto:malhayan@gmail.com?bcc=6914917@bcc.hubspot.com" TargetMode="External"/><Relationship Id="rId93" Type="http://schemas.openxmlformats.org/officeDocument/2006/relationships/hyperlink" Target="mailto:emesawa@gmail.com?bcc=6914917@bcc.hubspot.com" TargetMode="External"/><Relationship Id="rId92" Type="http://schemas.openxmlformats.org/officeDocument/2006/relationships/hyperlink" Target="mailto:ehabmsq@yahoo.com?bcc=6914917@bcc.hubspot.com" TargetMode="External"/><Relationship Id="rId359" Type="http://schemas.openxmlformats.org/officeDocument/2006/relationships/hyperlink" Target="mailto:lodhi100@hotmail.com?bcc=6914917@bcc.hubspot.com" TargetMode="External"/><Relationship Id="rId358" Type="http://schemas.openxmlformats.org/officeDocument/2006/relationships/hyperlink" Target="mailto:kapoor.pranav@gmail.com?bcc=6914917@bcc.hubspot.com" TargetMode="External"/><Relationship Id="rId357" Type="http://schemas.openxmlformats.org/officeDocument/2006/relationships/hyperlink" Target="mailto:absshyam26@gmail.com?bcc=6914917@bcc.hubspot.com" TargetMode="External"/><Relationship Id="rId352" Type="http://schemas.openxmlformats.org/officeDocument/2006/relationships/hyperlink" Target="mailto:hfjjgt@hotmail.com?bcc=6914917@bcc.hubspot.com" TargetMode="External"/><Relationship Id="rId351" Type="http://schemas.openxmlformats.org/officeDocument/2006/relationships/hyperlink" Target="mailto:a-al_rumaithi@hotmail.com?bcc=6914917@bcc.hubspot.com" TargetMode="External"/><Relationship Id="rId350" Type="http://schemas.openxmlformats.org/officeDocument/2006/relationships/hyperlink" Target="mailto:lothdeguia@yahoo.com?bcc=6914917@bcc.hubspot.com" TargetMode="External"/><Relationship Id="rId356" Type="http://schemas.openxmlformats.org/officeDocument/2006/relationships/hyperlink" Target="mailto:sneha.lokhandwala@hotmail.com?bcc=6914917@bcc.hubspot.com" TargetMode="External"/><Relationship Id="rId355" Type="http://schemas.openxmlformats.org/officeDocument/2006/relationships/hyperlink" Target="mailto:k41114@hotmail.com?bcc=6914917@bcc.hubspot.com" TargetMode="External"/><Relationship Id="rId354" Type="http://schemas.openxmlformats.org/officeDocument/2006/relationships/hyperlink" Target="mailto:sina.alrawi@yahoo.com?bcc=6914917@bcc.hubspot.com" TargetMode="External"/><Relationship Id="rId353" Type="http://schemas.openxmlformats.org/officeDocument/2006/relationships/hyperlink" Target="mailto:prachi2711@gmail.com?bcc=6914917@bcc.hubspot.com" TargetMode="External"/><Relationship Id="rId1378" Type="http://schemas.openxmlformats.org/officeDocument/2006/relationships/hyperlink" Target="mailto:drameenalsaleem@gmail.com?bcc=6914917@bcc.hubspot.com" TargetMode="External"/><Relationship Id="rId1379" Type="http://schemas.openxmlformats.org/officeDocument/2006/relationships/hyperlink" Target="mailto:usman.ayub1003@gmail.com?bcc=6914917@bcc.hubspot.com" TargetMode="External"/><Relationship Id="rId305" Type="http://schemas.openxmlformats.org/officeDocument/2006/relationships/hyperlink" Target="mailto:raijasparakkal@gmail.com?bcc=6914917@bcc.hubspot.com" TargetMode="External"/><Relationship Id="rId789" Type="http://schemas.openxmlformats.org/officeDocument/2006/relationships/hyperlink" Target="mailto:dandyventigan@yahoo.com?bcc=6914917@bcc.hubspot.com" TargetMode="External"/><Relationship Id="rId304" Type="http://schemas.openxmlformats.org/officeDocument/2006/relationships/hyperlink" Target="mailto:reitathami1@gmail.com?bcc=6914917@bcc.hubspot.com" TargetMode="External"/><Relationship Id="rId788" Type="http://schemas.openxmlformats.org/officeDocument/2006/relationships/hyperlink" Target="mailto:mssharif@alite.ae?bcc=6914917@bcc.hubspot.com" TargetMode="External"/><Relationship Id="rId303" Type="http://schemas.openxmlformats.org/officeDocument/2006/relationships/hyperlink" Target="mailto:neryfree@yahoo.com?bcc=6914917@bcc.hubspot.com" TargetMode="External"/><Relationship Id="rId787" Type="http://schemas.openxmlformats.org/officeDocument/2006/relationships/hyperlink" Target="mailto:mk44441.uae@gmail.com?bcc=6914917@bcc.hubspot.com" TargetMode="External"/><Relationship Id="rId302" Type="http://schemas.openxmlformats.org/officeDocument/2006/relationships/hyperlink" Target="mailto:mohammed.ali1@live.co.uk?bcc=6914917@bcc.hubspot.com" TargetMode="External"/><Relationship Id="rId786" Type="http://schemas.openxmlformats.org/officeDocument/2006/relationships/hyperlink" Target="mailto:asma_alwehedi@hotmail.com?bcc=6914917@bcc.hubspot.com" TargetMode="External"/><Relationship Id="rId309" Type="http://schemas.openxmlformats.org/officeDocument/2006/relationships/hyperlink" Target="mailto:eyad.abdelrahim@gmail.com?bcc=6914917@bcc.hubspot.com" TargetMode="External"/><Relationship Id="rId308" Type="http://schemas.openxmlformats.org/officeDocument/2006/relationships/hyperlink" Target="mailto:drashvadher@gmail.com?bcc=6914917@bcc.hubspot.com" TargetMode="External"/><Relationship Id="rId307" Type="http://schemas.openxmlformats.org/officeDocument/2006/relationships/hyperlink" Target="mailto:jacgeo@gmail.com?bcc=6914917@bcc.hubspot.com" TargetMode="External"/><Relationship Id="rId306" Type="http://schemas.openxmlformats.org/officeDocument/2006/relationships/hyperlink" Target="mailto:Shoaibmerchant@gmail.com?bcc=6914917@bcc.hubspot.com" TargetMode="External"/><Relationship Id="rId781" Type="http://schemas.openxmlformats.org/officeDocument/2006/relationships/hyperlink" Target="mailto:sassousbk@gmail.com?bcc=6914917@bcc.hubspot.com" TargetMode="External"/><Relationship Id="rId1370" Type="http://schemas.openxmlformats.org/officeDocument/2006/relationships/hyperlink" Target="mailto:eldhoseco@gmail.com?bcc=6914917@bcc.hubspot.com" TargetMode="External"/><Relationship Id="rId780" Type="http://schemas.openxmlformats.org/officeDocument/2006/relationships/hyperlink" Target="mailto:mo.atwany@gmail.com?bcc=6914917@bcc.hubspot.com" TargetMode="External"/><Relationship Id="rId1371" Type="http://schemas.openxmlformats.org/officeDocument/2006/relationships/hyperlink" Target="mailto:jmclark59@msn.com?bcc=6914917@bcc.hubspot.com" TargetMode="External"/><Relationship Id="rId1372" Type="http://schemas.openxmlformats.org/officeDocument/2006/relationships/hyperlink" Target="mailto:a.binaftan@gmail.com?bcc=6914917@bcc.hubspot.com" TargetMode="External"/><Relationship Id="rId1373" Type="http://schemas.openxmlformats.org/officeDocument/2006/relationships/hyperlink" Target="mailto:shakeelrani4@gmail.com?bcc=6914917@bcc.hubspot.com" TargetMode="External"/><Relationship Id="rId301" Type="http://schemas.openxmlformats.org/officeDocument/2006/relationships/hyperlink" Target="mailto:jobysogy@gmail.com?bcc=6914917@bcc.hubspot.com" TargetMode="External"/><Relationship Id="rId785" Type="http://schemas.openxmlformats.org/officeDocument/2006/relationships/hyperlink" Target="mailto:juliana.korth@hotmail.com?bcc=6914917@bcc.hubspot.com" TargetMode="External"/><Relationship Id="rId1374" Type="http://schemas.openxmlformats.org/officeDocument/2006/relationships/hyperlink" Target="mailto:joharabdo@gmail.com?bcc=6914917@bcc.hubspot.com" TargetMode="External"/><Relationship Id="rId300" Type="http://schemas.openxmlformats.org/officeDocument/2006/relationships/hyperlink" Target="mailto:sublimeglobal@gmail.com?bcc=6914917@bcc.hubspot.com" TargetMode="External"/><Relationship Id="rId784" Type="http://schemas.openxmlformats.org/officeDocument/2006/relationships/hyperlink" Target="mailto:ramziwat@yahoo.com?bcc=6914917@bcc.hubspot.com" TargetMode="External"/><Relationship Id="rId1375" Type="http://schemas.openxmlformats.org/officeDocument/2006/relationships/hyperlink" Target="mailto:naeem@hmmc-sa.com?bcc=6914917@bcc.hubspot.com" TargetMode="External"/><Relationship Id="rId783" Type="http://schemas.openxmlformats.org/officeDocument/2006/relationships/hyperlink" Target="mailto:s4440603@gmail.com?bcc=6914917@bcc.hubspot.com" TargetMode="External"/><Relationship Id="rId1376" Type="http://schemas.openxmlformats.org/officeDocument/2006/relationships/hyperlink" Target="mailto:huzsaif@gmail.com?bcc=6914917@bcc.hubspot.com" TargetMode="External"/><Relationship Id="rId782" Type="http://schemas.openxmlformats.org/officeDocument/2006/relationships/hyperlink" Target="mailto:totasuliman88@gmail.com?bcc=6914917@bcc.hubspot.com" TargetMode="External"/><Relationship Id="rId1377" Type="http://schemas.openxmlformats.org/officeDocument/2006/relationships/hyperlink" Target="mailto:ali-2014555@hotmeil.com?bcc=6914917@bcc.hubspot.com" TargetMode="External"/><Relationship Id="rId1367" Type="http://schemas.openxmlformats.org/officeDocument/2006/relationships/hyperlink" Target="mailto:rajesh76natarajan@gmail.com?bcc=6914917@bcc.hubspot.com" TargetMode="External"/><Relationship Id="rId1368" Type="http://schemas.openxmlformats.org/officeDocument/2006/relationships/hyperlink" Target="mailto:masud7@mail.ru?bcc=6914917@bcc.hubspot.com" TargetMode="External"/><Relationship Id="rId1369" Type="http://schemas.openxmlformats.org/officeDocument/2006/relationships/hyperlink" Target="mailto:qaisshawwa@yahoo.com?bcc=6914917@bcc.hubspot.com" TargetMode="External"/><Relationship Id="rId778" Type="http://schemas.openxmlformats.org/officeDocument/2006/relationships/hyperlink" Target="mailto:ahr.aldhaheri@hotmail.com?bcc=6914917@bcc.hubspot.com" TargetMode="External"/><Relationship Id="rId777" Type="http://schemas.openxmlformats.org/officeDocument/2006/relationships/hyperlink" Target="mailto:sara_hmaydi@hotmail.com?bcc=6914917@bcc.hubspot.com" TargetMode="External"/><Relationship Id="rId776" Type="http://schemas.openxmlformats.org/officeDocument/2006/relationships/hyperlink" Target="mailto:anoud1987@gmail.com?bcc=6914917@bcc.hubspot.com" TargetMode="External"/><Relationship Id="rId775" Type="http://schemas.openxmlformats.org/officeDocument/2006/relationships/hyperlink" Target="mailto:heiba4@gmail.com?bcc=6914917@bcc.hubspot.com" TargetMode="External"/><Relationship Id="rId779" Type="http://schemas.openxmlformats.org/officeDocument/2006/relationships/hyperlink" Target="mailto:mym-292@hotmail.com?bcc=6914917@bcc.hubspot.com" TargetMode="External"/><Relationship Id="rId770" Type="http://schemas.openxmlformats.org/officeDocument/2006/relationships/hyperlink" Target="mailto:bu_jdjduei@hotmail.com?bcc=6914917@bcc.hubspot.com" TargetMode="External"/><Relationship Id="rId1360" Type="http://schemas.openxmlformats.org/officeDocument/2006/relationships/hyperlink" Target="mailto:farazhakim@gmail.com?bcc=6914917@bcc.hubspot.com" TargetMode="External"/><Relationship Id="rId1361" Type="http://schemas.openxmlformats.org/officeDocument/2006/relationships/hyperlink" Target="mailto:mahmood.yasser@gmail.com?bcc=6914917@bcc.hubspot.com" TargetMode="External"/><Relationship Id="rId1362" Type="http://schemas.openxmlformats.org/officeDocument/2006/relationships/hyperlink" Target="mailto:elaine_estrella@yahoo.com?bcc=6914917@bcc.hubspot.com" TargetMode="External"/><Relationship Id="rId774" Type="http://schemas.openxmlformats.org/officeDocument/2006/relationships/hyperlink" Target="mailto:sarahmajdi@hotmail.com?bcc=6914917@bcc.hubspot.com" TargetMode="External"/><Relationship Id="rId1363" Type="http://schemas.openxmlformats.org/officeDocument/2006/relationships/hyperlink" Target="mailto:mohsenalharith@yahoo.com?bcc=6914917@bcc.hubspot.com" TargetMode="External"/><Relationship Id="rId773" Type="http://schemas.openxmlformats.org/officeDocument/2006/relationships/hyperlink" Target="mailto:mashal2222@icloud.com?bcc=6914917@bcc.hubspot.com" TargetMode="External"/><Relationship Id="rId1364" Type="http://schemas.openxmlformats.org/officeDocument/2006/relationships/hyperlink" Target="mailto:arifmustafa@yahoo.com?bcc=6914917@bcc.hubspot.com" TargetMode="External"/><Relationship Id="rId772" Type="http://schemas.openxmlformats.org/officeDocument/2006/relationships/hyperlink" Target="mailto:zoom2007_050@hotmail.com?bcc=6914917@bcc.hubspot.com" TargetMode="External"/><Relationship Id="rId1365" Type="http://schemas.openxmlformats.org/officeDocument/2006/relationships/hyperlink" Target="mailto:elaine_estrella@yahoo.com?bcc=6914917@bcc.hubspot.com" TargetMode="External"/><Relationship Id="rId771" Type="http://schemas.openxmlformats.org/officeDocument/2006/relationships/hyperlink" Target="mailto:bamsam2016@gmail.com?bcc=6914917@bcc.hubspot.com" TargetMode="External"/><Relationship Id="rId1366" Type="http://schemas.openxmlformats.org/officeDocument/2006/relationships/hyperlink" Target="mailto:huniti_77@yahoo.com?bcc=6914917@bcc.hubspot.com" TargetMode="External"/><Relationship Id="rId327" Type="http://schemas.openxmlformats.org/officeDocument/2006/relationships/hyperlink" Target="mailto:m.samaraie@gmail.com?bcc=6914917@bcc.hubspot.com" TargetMode="External"/><Relationship Id="rId326" Type="http://schemas.openxmlformats.org/officeDocument/2006/relationships/hyperlink" Target="mailto:abdelsalam.aly@biomerieux.com?bcc=6914917@bcc.hubspot.com" TargetMode="External"/><Relationship Id="rId325" Type="http://schemas.openxmlformats.org/officeDocument/2006/relationships/hyperlink" Target="mailto:kasmhl1@hotmail.com?bcc=6914917@bcc.hubspot.com" TargetMode="External"/><Relationship Id="rId324" Type="http://schemas.openxmlformats.org/officeDocument/2006/relationships/hyperlink" Target="mailto:masooma2100@gmail.com?bcc=6914917@bcc.hubspot.com" TargetMode="External"/><Relationship Id="rId329" Type="http://schemas.openxmlformats.org/officeDocument/2006/relationships/hyperlink" Target="mailto:mlralmarzouqi@gmail.com?bcc=6914917@bcc.hubspot.com" TargetMode="External"/><Relationship Id="rId1390" Type="http://schemas.openxmlformats.org/officeDocument/2006/relationships/hyperlink" Target="mailto:umair.property@gmail.com?bcc=6914917@bcc.hubspot.com" TargetMode="External"/><Relationship Id="rId328" Type="http://schemas.openxmlformats.org/officeDocument/2006/relationships/hyperlink" Target="mailto:gpprash@gmail.com?bcc=6914917@bcc.hubspot.com" TargetMode="External"/><Relationship Id="rId1391" Type="http://schemas.openxmlformats.org/officeDocument/2006/relationships/hyperlink" Target="mailto:yoni72001@yahoo.com?bcc=6914917@bcc.hubspot.com" TargetMode="External"/><Relationship Id="rId1392" Type="http://schemas.openxmlformats.org/officeDocument/2006/relationships/hyperlink" Target="mailto:kcmblr@gmail.com?bcc=6914917@bcc.hubspot.com" TargetMode="External"/><Relationship Id="rId1393" Type="http://schemas.openxmlformats.org/officeDocument/2006/relationships/hyperlink" Target="mailto:arif6mum@yahoo.com?bcc=6914917@bcc.hubspot.com" TargetMode="External"/><Relationship Id="rId1394" Type="http://schemas.openxmlformats.org/officeDocument/2006/relationships/hyperlink" Target="mailto:szad2526@hotmail.com?bcc=6914917@bcc.hubspot.com" TargetMode="External"/><Relationship Id="rId1395" Type="http://schemas.openxmlformats.org/officeDocument/2006/relationships/hyperlink" Target="mailto:fiaz233@hotmail.com?bcc=6914917@bcc.hubspot.com" TargetMode="External"/><Relationship Id="rId323" Type="http://schemas.openxmlformats.org/officeDocument/2006/relationships/hyperlink" Target="mailto:m_s_senior@hotmail.com?bcc=6914917@bcc.hubspot.com" TargetMode="External"/><Relationship Id="rId1396" Type="http://schemas.openxmlformats.org/officeDocument/2006/relationships/hyperlink" Target="mailto:alameentoys@yahoo.com?bcc=6914917@bcc.hubspot.com" TargetMode="External"/><Relationship Id="rId322" Type="http://schemas.openxmlformats.org/officeDocument/2006/relationships/hyperlink" Target="mailto:redman75@hotmail.com?bcc=6914917@bcc.hubspot.com" TargetMode="External"/><Relationship Id="rId1397" Type="http://schemas.openxmlformats.org/officeDocument/2006/relationships/hyperlink" Target="mailto:syed_elite@yahoo.com?bcc=6914917@bcc.hubspot.com" TargetMode="External"/><Relationship Id="rId321" Type="http://schemas.openxmlformats.org/officeDocument/2006/relationships/hyperlink" Target="mailto:waleedalghamlas@gmail.com?bcc=6914917@bcc.hubspot.com" TargetMode="External"/><Relationship Id="rId1398" Type="http://schemas.openxmlformats.org/officeDocument/2006/relationships/hyperlink" Target="mailto:akhlaq.145@gmail.com?bcc=6914917@bcc.hubspot.com" TargetMode="External"/><Relationship Id="rId320" Type="http://schemas.openxmlformats.org/officeDocument/2006/relationships/hyperlink" Target="mailto:gupta2001@hotmail.com?bcc=6914917@bcc.hubspot.com" TargetMode="External"/><Relationship Id="rId1399" Type="http://schemas.openxmlformats.org/officeDocument/2006/relationships/hyperlink" Target="mailto:lcastelino86@hotmail.com?bcc=6914917@bcc.hubspot.com" TargetMode="External"/><Relationship Id="rId1389" Type="http://schemas.openxmlformats.org/officeDocument/2006/relationships/hyperlink" Target="mailto:Umair.property@gmail.com?bcc=6914917@bcc.hubspot.com" TargetMode="External"/><Relationship Id="rId316" Type="http://schemas.openxmlformats.org/officeDocument/2006/relationships/hyperlink" Target="mailto:lal@lalthomas.com?bcc=6914917@bcc.hubspot.com" TargetMode="External"/><Relationship Id="rId315" Type="http://schemas.openxmlformats.org/officeDocument/2006/relationships/hyperlink" Target="mailto:alvin.thomast@gmail.com?bcc=6914917@bcc.hubspot.com" TargetMode="External"/><Relationship Id="rId799" Type="http://schemas.openxmlformats.org/officeDocument/2006/relationships/hyperlink" Target="mailto:humaira.hussaini@gmail.com?bcc=6914917@bcc.hubspot.com" TargetMode="External"/><Relationship Id="rId314" Type="http://schemas.openxmlformats.org/officeDocument/2006/relationships/hyperlink" Target="mailto:farzukkazi@gmail.com?bcc=6914917@bcc.hubspot.com" TargetMode="External"/><Relationship Id="rId798" Type="http://schemas.openxmlformats.org/officeDocument/2006/relationships/hyperlink" Target="mailto:Mohamedhelmyomran@gmail.com?bcc=6914917@bcc.hubspot.com" TargetMode="External"/><Relationship Id="rId313" Type="http://schemas.openxmlformats.org/officeDocument/2006/relationships/hyperlink" Target="mailto:mdtarique022@gmail.com?bcc=6914917@bcc.hubspot.com" TargetMode="External"/><Relationship Id="rId797" Type="http://schemas.openxmlformats.org/officeDocument/2006/relationships/hyperlink" Target="mailto:thogan.awamleh@hotmail.com?bcc=6914917@bcc.hubspot.com" TargetMode="External"/><Relationship Id="rId319" Type="http://schemas.openxmlformats.org/officeDocument/2006/relationships/hyperlink" Target="mailto:scottrob@live.com?bcc=6914917@bcc.hubspot.com" TargetMode="External"/><Relationship Id="rId318" Type="http://schemas.openxmlformats.org/officeDocument/2006/relationships/hyperlink" Target="mailto:sandcorporationuae@gmail.com?bcc=6914917@bcc.hubspot.com" TargetMode="External"/><Relationship Id="rId317" Type="http://schemas.openxmlformats.org/officeDocument/2006/relationships/hyperlink" Target="mailto:khs-invest@gmx.at?bcc=6914917@bcc.hubspot.com" TargetMode="External"/><Relationship Id="rId1380" Type="http://schemas.openxmlformats.org/officeDocument/2006/relationships/hyperlink" Target="mailto:sudeera.alternate@gmail.com?bcc=6914917@bcc.hubspot.com" TargetMode="External"/><Relationship Id="rId792" Type="http://schemas.openxmlformats.org/officeDocument/2006/relationships/hyperlink" Target="mailto:ahmadabukuhail@gmail.com?bcc=6914917@bcc.hubspot.com" TargetMode="External"/><Relationship Id="rId1381" Type="http://schemas.openxmlformats.org/officeDocument/2006/relationships/hyperlink" Target="mailto:prad21935@gmail.com?bcc=6914917@bcc.hubspot.com" TargetMode="External"/><Relationship Id="rId791" Type="http://schemas.openxmlformats.org/officeDocument/2006/relationships/hyperlink" Target="mailto:eng-mohammad-de@hotmail.com?bcc=6914917@bcc.hubspot.com" TargetMode="External"/><Relationship Id="rId1382" Type="http://schemas.openxmlformats.org/officeDocument/2006/relationships/hyperlink" Target="mailto:adnan_halepoto@hotmail.com?bcc=6914917@bcc.hubspot.com" TargetMode="External"/><Relationship Id="rId790" Type="http://schemas.openxmlformats.org/officeDocument/2006/relationships/hyperlink" Target="mailto:mralomda@gmail.com?bcc=6914917@bcc.hubspot.com" TargetMode="External"/><Relationship Id="rId1383" Type="http://schemas.openxmlformats.org/officeDocument/2006/relationships/hyperlink" Target="mailto:shahid.javed@intechww.com?bcc=6914917@bcc.hubspot.com" TargetMode="External"/><Relationship Id="rId1384" Type="http://schemas.openxmlformats.org/officeDocument/2006/relationships/hyperlink" Target="mailto:prad21935@gmail.com?bcc=6914917@bcc.hubspot.com" TargetMode="External"/><Relationship Id="rId312" Type="http://schemas.openxmlformats.org/officeDocument/2006/relationships/hyperlink" Target="mailto:t1hassan@hotmail.com?bcc=6914917@bcc.hubspot.com" TargetMode="External"/><Relationship Id="rId796" Type="http://schemas.openxmlformats.org/officeDocument/2006/relationships/hyperlink" Target="mailto:emad_masadeh@hotmail.com?bcc=6914917@bcc.hubspot.com" TargetMode="External"/><Relationship Id="rId1385" Type="http://schemas.openxmlformats.org/officeDocument/2006/relationships/hyperlink" Target="mailto:jaleeshbabu@gmail.com?bcc=6914917@bcc.hubspot.com" TargetMode="External"/><Relationship Id="rId311" Type="http://schemas.openxmlformats.org/officeDocument/2006/relationships/hyperlink" Target="mailto:rrkarthic91@gmail.com?bcc=6914917@bcc.hubspot.com" TargetMode="External"/><Relationship Id="rId795" Type="http://schemas.openxmlformats.org/officeDocument/2006/relationships/hyperlink" Target="mailto:ahmedalnairab@gmail.com?bcc=6914917@bcc.hubspot.com" TargetMode="External"/><Relationship Id="rId1386" Type="http://schemas.openxmlformats.org/officeDocument/2006/relationships/hyperlink" Target="mailto:star_sohail@yahoo.co.in?bcc=6914917@bcc.hubspot.com" TargetMode="External"/><Relationship Id="rId310" Type="http://schemas.openxmlformats.org/officeDocument/2006/relationships/hyperlink" Target="mailto:drashvadher@gmail.com?bcc=6914917@bcc.hubspot.com" TargetMode="External"/><Relationship Id="rId794" Type="http://schemas.openxmlformats.org/officeDocument/2006/relationships/hyperlink" Target="mailto:mouradbarcos@hotmail.com?bcc=6914917@bcc.hubspot.com" TargetMode="External"/><Relationship Id="rId1387" Type="http://schemas.openxmlformats.org/officeDocument/2006/relationships/hyperlink" Target="mailto:alriyaminaser@gmail.com?bcc=6914917@bcc.hubspot.com" TargetMode="External"/><Relationship Id="rId793" Type="http://schemas.openxmlformats.org/officeDocument/2006/relationships/hyperlink" Target="mailto:Psolution1987@gmail.com?bcc=6914917@bcc.hubspot.com" TargetMode="External"/><Relationship Id="rId1388" Type="http://schemas.openxmlformats.org/officeDocument/2006/relationships/hyperlink" Target="mailto:sudeera.alternate@gmail.com?bcc=6914917@bcc.hubspot.com" TargetMode="External"/><Relationship Id="rId297" Type="http://schemas.openxmlformats.org/officeDocument/2006/relationships/hyperlink" Target="mailto:sa3sa2sa1@yahoo.com?bcc=6914917@bcc.hubspot.com" TargetMode="External"/><Relationship Id="rId296" Type="http://schemas.openxmlformats.org/officeDocument/2006/relationships/hyperlink" Target="mailto:yamen25@hotmail.com?bcc=6914917@bcc.hubspot.com" TargetMode="External"/><Relationship Id="rId295" Type="http://schemas.openxmlformats.org/officeDocument/2006/relationships/hyperlink" Target="mailto:vssridevi29@gmail.com?bcc=6914917@bcc.hubspot.com" TargetMode="External"/><Relationship Id="rId294" Type="http://schemas.openxmlformats.org/officeDocument/2006/relationships/hyperlink" Target="mailto:motaif@outlook.com?bcc=6914917@bcc.hubspot.com" TargetMode="External"/><Relationship Id="rId299" Type="http://schemas.openxmlformats.org/officeDocument/2006/relationships/hyperlink" Target="mailto:uzairghazi@yahoo.com?bcc=6914917@bcc.hubspot.com" TargetMode="External"/><Relationship Id="rId298" Type="http://schemas.openxmlformats.org/officeDocument/2006/relationships/hyperlink" Target="mailto:usezipcode@hotmail.com?bcc=6914917@bcc.hubspot.com" TargetMode="External"/><Relationship Id="rId271" Type="http://schemas.openxmlformats.org/officeDocument/2006/relationships/hyperlink" Target="mailto:czee@hotmail.co.uk?bcc=6914917@bcc.hubspot.com" TargetMode="External"/><Relationship Id="rId270" Type="http://schemas.openxmlformats.org/officeDocument/2006/relationships/hyperlink" Target="mailto:marwan.alemad90@gmail.com?bcc=6914917@bcc.hubspot.com" TargetMode="External"/><Relationship Id="rId269" Type="http://schemas.openxmlformats.org/officeDocument/2006/relationships/hyperlink" Target="mailto:sarah.ali8@gmail.com?bcc=6914917@bcc.hubspot.com" TargetMode="External"/><Relationship Id="rId264" Type="http://schemas.openxmlformats.org/officeDocument/2006/relationships/hyperlink" Target="mailto:akbarmomand1@gmail.com?bcc=6914917@bcc.hubspot.com" TargetMode="External"/><Relationship Id="rId263" Type="http://schemas.openxmlformats.org/officeDocument/2006/relationships/hyperlink" Target="mailto:mvirenshah@gmail.com?bcc=6914917@bcc.hubspot.com" TargetMode="External"/><Relationship Id="rId262" Type="http://schemas.openxmlformats.org/officeDocument/2006/relationships/hyperlink" Target="mailto:Sge.ahmed@gmail.com?bcc=6914917@bcc.hubspot.com" TargetMode="External"/><Relationship Id="rId261" Type="http://schemas.openxmlformats.org/officeDocument/2006/relationships/hyperlink" Target="mailto:amrelemam@hotmail.com?bcc=6914917@bcc.hubspot.com" TargetMode="External"/><Relationship Id="rId268" Type="http://schemas.openxmlformats.org/officeDocument/2006/relationships/hyperlink" Target="mailto:kqamhyya@gmail.com?bcc=6914917@bcc.hubspot.com" TargetMode="External"/><Relationship Id="rId267" Type="http://schemas.openxmlformats.org/officeDocument/2006/relationships/hyperlink" Target="mailto:nileshhrba@gmail.com?bcc=6914917@bcc.hubspot.com" TargetMode="External"/><Relationship Id="rId266" Type="http://schemas.openxmlformats.org/officeDocument/2006/relationships/hyperlink" Target="mailto:issamtabet@gmail.com?bcc=6914917@bcc.hubspot.com" TargetMode="External"/><Relationship Id="rId265" Type="http://schemas.openxmlformats.org/officeDocument/2006/relationships/hyperlink" Target="mailto:msdiljm@yahoo.com?bcc=6914917@bcc.hubspot.com" TargetMode="External"/><Relationship Id="rId260" Type="http://schemas.openxmlformats.org/officeDocument/2006/relationships/hyperlink" Target="mailto:svarughese76@yahoo.com?bcc=6914917@bcc.hubspot.com" TargetMode="External"/><Relationship Id="rId259" Type="http://schemas.openxmlformats.org/officeDocument/2006/relationships/hyperlink" Target="mailto:ghaffar.khan@fazleghani.com?bcc=6914917@bcc.hubspot.com" TargetMode="External"/><Relationship Id="rId258" Type="http://schemas.openxmlformats.org/officeDocument/2006/relationships/hyperlink" Target="mailto:abdulla.binalshaikhali@hotmail.com?bcc=6914917@bcc.hubspot.com" TargetMode="External"/><Relationship Id="rId253" Type="http://schemas.openxmlformats.org/officeDocument/2006/relationships/hyperlink" Target="mailto:ezoo6666@gmail.com?bcc=6914917@bcc.hubspot.com" TargetMode="External"/><Relationship Id="rId252" Type="http://schemas.openxmlformats.org/officeDocument/2006/relationships/hyperlink" Target="mailto:sameemitkar@gmail.com?bcc=6914917@bcc.hubspot.com" TargetMode="External"/><Relationship Id="rId251" Type="http://schemas.openxmlformats.org/officeDocument/2006/relationships/hyperlink" Target="mailto:ahmed.omar.radi@gmail.com?bcc=6914917@bcc.hubspot.com" TargetMode="External"/><Relationship Id="rId250" Type="http://schemas.openxmlformats.org/officeDocument/2006/relationships/hyperlink" Target="mailto:adel.eldahshoury@gmail.com?bcc=6914917@bcc.hubspot.com" TargetMode="External"/><Relationship Id="rId257" Type="http://schemas.openxmlformats.org/officeDocument/2006/relationships/hyperlink" Target="mailto:savioinis@gmail.com?bcc=6914917@bcc.hubspot.com" TargetMode="External"/><Relationship Id="rId256" Type="http://schemas.openxmlformats.org/officeDocument/2006/relationships/hyperlink" Target="mailto:rajan@rayatind.com?bcc=6914917@bcc.hubspot.com" TargetMode="External"/><Relationship Id="rId255" Type="http://schemas.openxmlformats.org/officeDocument/2006/relationships/hyperlink" Target="mailto:aymanoulabi@hotmail.com?bcc=6914917@bcc.hubspot.com" TargetMode="External"/><Relationship Id="rId254" Type="http://schemas.openxmlformats.org/officeDocument/2006/relationships/hyperlink" Target="mailto:viji.tiku@gmail.com?bcc=6914917@bcc.hubspot.com" TargetMode="External"/><Relationship Id="rId293" Type="http://schemas.openxmlformats.org/officeDocument/2006/relationships/hyperlink" Target="mailto:mah262wish@yahoo.com?bcc=6914917@bcc.hubspot.com" TargetMode="External"/><Relationship Id="rId292" Type="http://schemas.openxmlformats.org/officeDocument/2006/relationships/hyperlink" Target="mailto:ishwar.sadh@jaipur.ae?bcc=6914917@bcc.hubspot.com" TargetMode="External"/><Relationship Id="rId291" Type="http://schemas.openxmlformats.org/officeDocument/2006/relationships/hyperlink" Target="mailto:kmurshed11@gmail.com?bcc=6914917@bcc.hubspot.com" TargetMode="External"/><Relationship Id="rId290" Type="http://schemas.openxmlformats.org/officeDocument/2006/relationships/hyperlink" Target="mailto:ziasdubai@gmail.com?bcc=6914917@bcc.hubspot.com" TargetMode="External"/><Relationship Id="rId286" Type="http://schemas.openxmlformats.org/officeDocument/2006/relationships/hyperlink" Target="mailto:trevorpybus@gmail.com?bcc=6914917@bcc.hubspot.com" TargetMode="External"/><Relationship Id="rId285" Type="http://schemas.openxmlformats.org/officeDocument/2006/relationships/hyperlink" Target="mailto:mandiaha@gmail.com?bcc=6914917@bcc.hubspot.com" TargetMode="External"/><Relationship Id="rId284" Type="http://schemas.openxmlformats.org/officeDocument/2006/relationships/hyperlink" Target="mailto:reema12199@gmail.com?bcc=6914917@bcc.hubspot.com" TargetMode="External"/><Relationship Id="rId283" Type="http://schemas.openxmlformats.org/officeDocument/2006/relationships/hyperlink" Target="mailto:ceejay@misterdee.com?bcc=6914917@bcc.hubspot.com" TargetMode="External"/><Relationship Id="rId289" Type="http://schemas.openxmlformats.org/officeDocument/2006/relationships/hyperlink" Target="mailto:adamrowley0@gmail.com?bcc=6914917@bcc.hubspot.com" TargetMode="External"/><Relationship Id="rId288" Type="http://schemas.openxmlformats.org/officeDocument/2006/relationships/hyperlink" Target="mailto:chetan.sonawala@gmail.com?bcc=6914917@bcc.hubspot.com" TargetMode="External"/><Relationship Id="rId287" Type="http://schemas.openxmlformats.org/officeDocument/2006/relationships/hyperlink" Target="mailto:Saifalkaabi6669@hotmail.com?bcc=6914917@bcc.hubspot.com" TargetMode="External"/><Relationship Id="rId282" Type="http://schemas.openxmlformats.org/officeDocument/2006/relationships/hyperlink" Target="mailto:rmzco@hotmail.com?bcc=6914917@bcc.hubspot.com" TargetMode="External"/><Relationship Id="rId281" Type="http://schemas.openxmlformats.org/officeDocument/2006/relationships/hyperlink" Target="mailto:vinamirikar@gmail.com?bcc=6914917@bcc.hubspot.com" TargetMode="External"/><Relationship Id="rId280" Type="http://schemas.openxmlformats.org/officeDocument/2006/relationships/hyperlink" Target="mailto:saeed.s.alkindi@hotmail.com?bcc=6914917@bcc.hubspot.com" TargetMode="External"/><Relationship Id="rId275" Type="http://schemas.openxmlformats.org/officeDocument/2006/relationships/hyperlink" Target="mailto:swatidubai@yahoo.com?bcc=6914917@bcc.hubspot.com" TargetMode="External"/><Relationship Id="rId274" Type="http://schemas.openxmlformats.org/officeDocument/2006/relationships/hyperlink" Target="mailto:monaalmulla30@gamil.com?bcc=6914917@bcc.hubspot.com" TargetMode="External"/><Relationship Id="rId273" Type="http://schemas.openxmlformats.org/officeDocument/2006/relationships/hyperlink" Target="mailto:mafs10@hotmail.com?bcc=6914917@bcc.hubspot.com" TargetMode="External"/><Relationship Id="rId272" Type="http://schemas.openxmlformats.org/officeDocument/2006/relationships/hyperlink" Target="mailto:godjoeplc@yahoo.com?bcc=6914917@bcc.hubspot.com" TargetMode="External"/><Relationship Id="rId279" Type="http://schemas.openxmlformats.org/officeDocument/2006/relationships/hyperlink" Target="mailto:bilal-emad@hotmail.com?bcc=6914917@bcc.hubspot.com" TargetMode="External"/><Relationship Id="rId278" Type="http://schemas.openxmlformats.org/officeDocument/2006/relationships/hyperlink" Target="mailto:bbsahuoil@gmail.com?bcc=6914917@bcc.hubspot.com" TargetMode="External"/><Relationship Id="rId277" Type="http://schemas.openxmlformats.org/officeDocument/2006/relationships/hyperlink" Target="mailto:paragpopat1989@gmail.com?bcc=6914917@bcc.hubspot.com" TargetMode="External"/><Relationship Id="rId276" Type="http://schemas.openxmlformats.org/officeDocument/2006/relationships/hyperlink" Target="mailto:samira.d@sdpmgt.com?bcc=6914917@bcc.hubspot.com" TargetMode="External"/><Relationship Id="rId1455" Type="http://schemas.openxmlformats.org/officeDocument/2006/relationships/hyperlink" Target="mailto:Swatisinha0406@gmail.com?bcc=6914917@bcc.hubspot.com" TargetMode="External"/><Relationship Id="rId1456" Type="http://schemas.openxmlformats.org/officeDocument/2006/relationships/hyperlink" Target="mailto:pupjana.kole@gmail.com?bcc=6914917@bcc.hubspot.com" TargetMode="External"/><Relationship Id="rId1457" Type="http://schemas.openxmlformats.org/officeDocument/2006/relationships/hyperlink" Target="mailto:tahazad@hotmail.com?bcc=6914917@bcc.hubspot.com" TargetMode="External"/><Relationship Id="rId1458" Type="http://schemas.openxmlformats.org/officeDocument/2006/relationships/hyperlink" Target="mailto:f_ayyad@hotmail.com?bcc=6914917@bcc.hubspot.com" TargetMode="External"/><Relationship Id="rId1459" Type="http://schemas.openxmlformats.org/officeDocument/2006/relationships/hyperlink" Target="mailto:cliffleetaylor@gmail.com?bcc=6914917@bcc.hubspot.com" TargetMode="External"/><Relationship Id="rId629" Type="http://schemas.openxmlformats.org/officeDocument/2006/relationships/hyperlink" Target="mailto:abu.nayif129@gmail.com?bcc=6914917@bcc.hubspot.com" TargetMode="External"/><Relationship Id="rId624" Type="http://schemas.openxmlformats.org/officeDocument/2006/relationships/hyperlink" Target="mailto:mrayyan@rivieraeng.ae?bcc=6914917@bcc.hubspot.com" TargetMode="External"/><Relationship Id="rId623" Type="http://schemas.openxmlformats.org/officeDocument/2006/relationships/hyperlink" Target="mailto:saud88almuaini@gmail.com?bcc=6914917@bcc.hubspot.com" TargetMode="External"/><Relationship Id="rId622" Type="http://schemas.openxmlformats.org/officeDocument/2006/relationships/hyperlink" Target="mailto:bishal_gr2003@yahoo.com?bcc=6914917@bcc.hubspot.com" TargetMode="External"/><Relationship Id="rId621" Type="http://schemas.openxmlformats.org/officeDocument/2006/relationships/hyperlink" Target="mailto:marwanss@live.com?bcc=6914917@bcc.hubspot.com" TargetMode="External"/><Relationship Id="rId628" Type="http://schemas.openxmlformats.org/officeDocument/2006/relationships/hyperlink" Target="mailto:eng.aamna1@gmail.com?bcc=6914917@bcc.hubspot.com" TargetMode="External"/><Relationship Id="rId627" Type="http://schemas.openxmlformats.org/officeDocument/2006/relationships/hyperlink" Target="mailto:riverstarauto@gmail.com?bcc=6914917@bcc.hubspot.com" TargetMode="External"/><Relationship Id="rId626" Type="http://schemas.openxmlformats.org/officeDocument/2006/relationships/hyperlink" Target="mailto:basilalqaisi@live.com?bcc=6914917@bcc.hubspot.com" TargetMode="External"/><Relationship Id="rId625" Type="http://schemas.openxmlformats.org/officeDocument/2006/relationships/hyperlink" Target="mailto:Atamkhan830@gmail.com?bcc=6914917@bcc.hubspot.com" TargetMode="External"/><Relationship Id="rId1450" Type="http://schemas.openxmlformats.org/officeDocument/2006/relationships/hyperlink" Target="mailto:adeyemioladokun@gmail.com?bcc=6914917@bcc.hubspot.com" TargetMode="External"/><Relationship Id="rId620" Type="http://schemas.openxmlformats.org/officeDocument/2006/relationships/hyperlink" Target="mailto:harsh.thanki19@live.com?bcc=6914917@bcc.hubspot.com" TargetMode="External"/><Relationship Id="rId1451" Type="http://schemas.openxmlformats.org/officeDocument/2006/relationships/hyperlink" Target="mailto:qualityrecs@yahoo.com?bcc=6914917@bcc.hubspot.com" TargetMode="External"/><Relationship Id="rId1452" Type="http://schemas.openxmlformats.org/officeDocument/2006/relationships/hyperlink" Target="mailto:sudeepmohapatra77@gmail.com?bcc=6914917@bcc.hubspot.com" TargetMode="External"/><Relationship Id="rId1453" Type="http://schemas.openxmlformats.org/officeDocument/2006/relationships/hyperlink" Target="mailto:amy.yusoof@gmail.com?bcc=6914917@bcc.hubspot.com" TargetMode="External"/><Relationship Id="rId1454" Type="http://schemas.openxmlformats.org/officeDocument/2006/relationships/hyperlink" Target="mailto:sabahmatawik@yahoo.com?bcc=6914917@bcc.hubspot.com" TargetMode="External"/><Relationship Id="rId1444" Type="http://schemas.openxmlformats.org/officeDocument/2006/relationships/hyperlink" Target="mailto:rajeev@alfa-royal.com?bcc=6914917@bcc.hubspot.com" TargetMode="External"/><Relationship Id="rId1445" Type="http://schemas.openxmlformats.org/officeDocument/2006/relationships/hyperlink" Target="mailto:syed_mutayyab@yahoo.com?bcc=6914917@bcc.hubspot.com" TargetMode="External"/><Relationship Id="rId1446" Type="http://schemas.openxmlformats.org/officeDocument/2006/relationships/hyperlink" Target="mailto:dsaedgar@hotmail.com?bcc=6914917@bcc.hubspot.com" TargetMode="External"/><Relationship Id="rId1447" Type="http://schemas.openxmlformats.org/officeDocument/2006/relationships/hyperlink" Target="mailto:likies@hotmail.co.uk?bcc=6914917@bcc.hubspot.com" TargetMode="External"/><Relationship Id="rId1448" Type="http://schemas.openxmlformats.org/officeDocument/2006/relationships/hyperlink" Target="mailto:nandriani@mcdermott.com?bcc=6914917@bcc.hubspot.com" TargetMode="External"/><Relationship Id="rId1449" Type="http://schemas.openxmlformats.org/officeDocument/2006/relationships/hyperlink" Target="mailto:mabusaad@hotmail.com?bcc=6914917@bcc.hubspot.com" TargetMode="External"/><Relationship Id="rId619" Type="http://schemas.openxmlformats.org/officeDocument/2006/relationships/hyperlink" Target="mailto:khulood_abdulla@hotmail.com?bcc=6914917@bcc.hubspot.com" TargetMode="External"/><Relationship Id="rId618" Type="http://schemas.openxmlformats.org/officeDocument/2006/relationships/hyperlink" Target="mailto:anwar.alshawish@yahoo.com?bcc=6914917@bcc.hubspot.com" TargetMode="External"/><Relationship Id="rId613" Type="http://schemas.openxmlformats.org/officeDocument/2006/relationships/hyperlink" Target="mailto:bijileshraj@gmail.com?bcc=6914917@bcc.hubspot.com" TargetMode="External"/><Relationship Id="rId612" Type="http://schemas.openxmlformats.org/officeDocument/2006/relationships/hyperlink" Target="mailto:mshakeel1089@gmail.com?bcc=6914917@bcc.hubspot.com" TargetMode="External"/><Relationship Id="rId611" Type="http://schemas.openxmlformats.org/officeDocument/2006/relationships/hyperlink" Target="mailto:maryamf2014@gmail.com?bcc=6914917@bcc.hubspot.com" TargetMode="External"/><Relationship Id="rId610" Type="http://schemas.openxmlformats.org/officeDocument/2006/relationships/hyperlink" Target="mailto:kpunit23@gmail.com?bcc=6914917@bcc.hubspot.com" TargetMode="External"/><Relationship Id="rId617" Type="http://schemas.openxmlformats.org/officeDocument/2006/relationships/hyperlink" Target="mailto:benkaciithri@gmail.com?bcc=6914917@bcc.hubspot.com" TargetMode="External"/><Relationship Id="rId616" Type="http://schemas.openxmlformats.org/officeDocument/2006/relationships/hyperlink" Target="mailto:yalnaqbi1@hotmail.com?bcc=6914917@bcc.hubspot.com" TargetMode="External"/><Relationship Id="rId615" Type="http://schemas.openxmlformats.org/officeDocument/2006/relationships/hyperlink" Target="mailto:mojgan.mehrgan77@gmail.com?bcc=6914917@bcc.hubspot.com" TargetMode="External"/><Relationship Id="rId614" Type="http://schemas.openxmlformats.org/officeDocument/2006/relationships/hyperlink" Target="mailto:hoodabdullah@gmail.com?bcc=6914917@bcc.hubspot.com" TargetMode="External"/><Relationship Id="rId1440" Type="http://schemas.openxmlformats.org/officeDocument/2006/relationships/hyperlink" Target="mailto:darwish_parts@hotmail.com?bcc=6914917@bcc.hubspot.com" TargetMode="External"/><Relationship Id="rId1441" Type="http://schemas.openxmlformats.org/officeDocument/2006/relationships/hyperlink" Target="mailto:haythemhaggag@hotmail.com?bcc=6914917@bcc.hubspot.com" TargetMode="External"/><Relationship Id="rId1442" Type="http://schemas.openxmlformats.org/officeDocument/2006/relationships/hyperlink" Target="mailto:fwenglorz@hotmail.com?bcc=6914917@bcc.hubspot.com" TargetMode="External"/><Relationship Id="rId1443" Type="http://schemas.openxmlformats.org/officeDocument/2006/relationships/hyperlink" Target="mailto:zeidan.saleh2020@gmail.com?bcc=6914917@bcc.hubspot.com" TargetMode="External"/><Relationship Id="rId1477" Type="http://schemas.openxmlformats.org/officeDocument/2006/relationships/hyperlink" Target="mailto:Priteshdattani@hotmail.com?bcc=6914917@bcc.hubspot.com" TargetMode="External"/><Relationship Id="rId1478" Type="http://schemas.openxmlformats.org/officeDocument/2006/relationships/hyperlink" Target="mailto:majeedgroup@yahoo.com?bcc=6914917@bcc.hubspot.com" TargetMode="External"/><Relationship Id="rId1479" Type="http://schemas.openxmlformats.org/officeDocument/2006/relationships/hyperlink" Target="mailto:Okassha1975@yahoo.com?bcc=6914917@bcc.hubspot.com" TargetMode="External"/><Relationship Id="rId646" Type="http://schemas.openxmlformats.org/officeDocument/2006/relationships/hyperlink" Target="mailto:hany_667@hotmail.com?bcc=6914917@bcc.hubspot.com" TargetMode="External"/><Relationship Id="rId645" Type="http://schemas.openxmlformats.org/officeDocument/2006/relationships/hyperlink" Target="mailto:al-jrooh@live.com?bcc=6914917@bcc.hubspot.com" TargetMode="External"/><Relationship Id="rId644" Type="http://schemas.openxmlformats.org/officeDocument/2006/relationships/hyperlink" Target="mailto:abdulla190b@gmail.com?bcc=6914917@bcc.hubspot.com" TargetMode="External"/><Relationship Id="rId643" Type="http://schemas.openxmlformats.org/officeDocument/2006/relationships/hyperlink" Target="mailto:bolbol10637@hotmail.com?bcc=6914917@bcc.hubspot.com" TargetMode="External"/><Relationship Id="rId649" Type="http://schemas.openxmlformats.org/officeDocument/2006/relationships/hyperlink" Target="mailto:ziad9gamal@gmail.com?bcc=6914917@bcc.hubspot.com" TargetMode="External"/><Relationship Id="rId648" Type="http://schemas.openxmlformats.org/officeDocument/2006/relationships/hyperlink" Target="mailto:aishia.alshamsi135@gmail.com?bcc=6914917@bcc.hubspot.com" TargetMode="External"/><Relationship Id="rId647" Type="http://schemas.openxmlformats.org/officeDocument/2006/relationships/hyperlink" Target="mailto:salm24828@gamil.com?bcc=6914917@bcc.hubspot.com" TargetMode="External"/><Relationship Id="rId1470" Type="http://schemas.openxmlformats.org/officeDocument/2006/relationships/hyperlink" Target="mailto:nafess@gmail.com?bcc=6914917@bcc.hubspot.com" TargetMode="External"/><Relationship Id="rId1471" Type="http://schemas.openxmlformats.org/officeDocument/2006/relationships/hyperlink" Target="mailto:ibrahimalgabbaa@yahoo.com?bcc=6914917@bcc.hubspot.com" TargetMode="External"/><Relationship Id="rId1472" Type="http://schemas.openxmlformats.org/officeDocument/2006/relationships/hyperlink" Target="mailto:nour.s.abushami@hotmail.com?bcc=6914917@bcc.hubspot.com" TargetMode="External"/><Relationship Id="rId642" Type="http://schemas.openxmlformats.org/officeDocument/2006/relationships/hyperlink" Target="mailto:omar.alhashemi711@gmail.com?bcc=6914917@bcc.hubspot.com" TargetMode="External"/><Relationship Id="rId1473" Type="http://schemas.openxmlformats.org/officeDocument/2006/relationships/hyperlink" Target="mailto:eliehelou@msn.com?bcc=6914917@bcc.hubspot.com" TargetMode="External"/><Relationship Id="rId641" Type="http://schemas.openxmlformats.org/officeDocument/2006/relationships/hyperlink" Target="mailto:husainalkindi99@gmail.com?bcc=6914917@bcc.hubspot.com" TargetMode="External"/><Relationship Id="rId1474" Type="http://schemas.openxmlformats.org/officeDocument/2006/relationships/hyperlink" Target="mailto:shenouda_adeb@yahoo.com?bcc=6914917@bcc.hubspot.com" TargetMode="External"/><Relationship Id="rId640" Type="http://schemas.openxmlformats.org/officeDocument/2006/relationships/hyperlink" Target="mailto:eidfarhan7@gmail.com?bcc=6914917@bcc.hubspot.com" TargetMode="External"/><Relationship Id="rId1475" Type="http://schemas.openxmlformats.org/officeDocument/2006/relationships/hyperlink" Target="mailto:ahmadi.ajp@gmail.com?bcc=6914917@bcc.hubspot.com" TargetMode="External"/><Relationship Id="rId1476" Type="http://schemas.openxmlformats.org/officeDocument/2006/relationships/hyperlink" Target="mailto:hraseed@gmail.com?bcc=6914917@bcc.hubspot.com" TargetMode="External"/><Relationship Id="rId1466" Type="http://schemas.openxmlformats.org/officeDocument/2006/relationships/hyperlink" Target="mailto:sureshsanchu@gmail.com?bcc=6914917@bcc.hubspot.com" TargetMode="External"/><Relationship Id="rId1467" Type="http://schemas.openxmlformats.org/officeDocument/2006/relationships/hyperlink" Target="mailto:m.sameer@kasccozambia.com?bcc=6914917@bcc.hubspot.com" TargetMode="External"/><Relationship Id="rId1468" Type="http://schemas.openxmlformats.org/officeDocument/2006/relationships/hyperlink" Target="mailto:saeed.iqbal3418@gmail.com?bcc=6914917@bcc.hubspot.com" TargetMode="External"/><Relationship Id="rId1469" Type="http://schemas.openxmlformats.org/officeDocument/2006/relationships/hyperlink" Target="mailto:ahmed.elgohary.uae@gmail.com?bcc=6914917@bcc.hubspot.com" TargetMode="External"/><Relationship Id="rId635" Type="http://schemas.openxmlformats.org/officeDocument/2006/relationships/hyperlink" Target="mailto:majk191918@gmail.com?bcc=6914917@bcc.hubspot.com" TargetMode="External"/><Relationship Id="rId634" Type="http://schemas.openxmlformats.org/officeDocument/2006/relationships/hyperlink" Target="mailto:2000pilot@gmail.com?bcc=6914917@bcc.hubspot.com" TargetMode="External"/><Relationship Id="rId633" Type="http://schemas.openxmlformats.org/officeDocument/2006/relationships/hyperlink" Target="mailto:nalmezaini@gmail.com?bcc=6914917@bcc.hubspot.com" TargetMode="External"/><Relationship Id="rId632" Type="http://schemas.openxmlformats.org/officeDocument/2006/relationships/hyperlink" Target="mailto:jibinashraf.89@gmail.com?bcc=6914917@bcc.hubspot.com" TargetMode="External"/><Relationship Id="rId639" Type="http://schemas.openxmlformats.org/officeDocument/2006/relationships/hyperlink" Target="mailto:ali.alhammadi@fta.gov.ae?bcc=6914917@bcc.hubspot.com" TargetMode="External"/><Relationship Id="rId638" Type="http://schemas.openxmlformats.org/officeDocument/2006/relationships/hyperlink" Target="mailto:zak.alwan@gmail.com?bcc=6914917@bcc.hubspot.com" TargetMode="External"/><Relationship Id="rId637" Type="http://schemas.openxmlformats.org/officeDocument/2006/relationships/hyperlink" Target="mailto:aa67777@hoymail.com?bcc=6914917@bcc.hubspot.com" TargetMode="External"/><Relationship Id="rId636" Type="http://schemas.openxmlformats.org/officeDocument/2006/relationships/hyperlink" Target="mailto:hil3l.1974@gmail.com?bcc=6914917@bcc.hubspot.com" TargetMode="External"/><Relationship Id="rId1460" Type="http://schemas.openxmlformats.org/officeDocument/2006/relationships/hyperlink" Target="mailto:41spinos@gmail.com?bcc=6914917@bcc.hubspot.com" TargetMode="External"/><Relationship Id="rId1461" Type="http://schemas.openxmlformats.org/officeDocument/2006/relationships/hyperlink" Target="mailto:abbas.dilawerburj@gmail.com?bcc=6914917@bcc.hubspot.com" TargetMode="External"/><Relationship Id="rId631" Type="http://schemas.openxmlformats.org/officeDocument/2006/relationships/hyperlink" Target="mailto:alkhanjari2020@gmail.com?bcc=6914917@bcc.hubspot.com" TargetMode="External"/><Relationship Id="rId1462" Type="http://schemas.openxmlformats.org/officeDocument/2006/relationships/hyperlink" Target="mailto:abduljelil.sheka@jacobs.com?bcc=6914917@bcc.hubspot.com" TargetMode="External"/><Relationship Id="rId630" Type="http://schemas.openxmlformats.org/officeDocument/2006/relationships/hyperlink" Target="mailto:mis-abdullah-albaker@hotmail.com?bcc=6914917@bcc.hubspot.com" TargetMode="External"/><Relationship Id="rId1463" Type="http://schemas.openxmlformats.org/officeDocument/2006/relationships/hyperlink" Target="mailto:alamanijewels@gmail.com?bcc=6914917@bcc.hubspot.com" TargetMode="External"/><Relationship Id="rId1464" Type="http://schemas.openxmlformats.org/officeDocument/2006/relationships/hyperlink" Target="mailto:asifbhatti421@hotmail.com?bcc=6914917@bcc.hubspot.com" TargetMode="External"/><Relationship Id="rId1465" Type="http://schemas.openxmlformats.org/officeDocument/2006/relationships/hyperlink" Target="mailto:Shaukat98@hotmail.com?bcc=6914917@bcc.hubspot.com" TargetMode="External"/><Relationship Id="rId1411" Type="http://schemas.openxmlformats.org/officeDocument/2006/relationships/hyperlink" Target="mailto:khurramashraf35@gmail.com?bcc=6914917@bcc.hubspot.com" TargetMode="External"/><Relationship Id="rId1412" Type="http://schemas.openxmlformats.org/officeDocument/2006/relationships/hyperlink" Target="mailto:writeimran@yahoo.com?bcc=6914917@bcc.hubspot.com" TargetMode="External"/><Relationship Id="rId1413" Type="http://schemas.openxmlformats.org/officeDocument/2006/relationships/hyperlink" Target="mailto:amer_kouraytem@hotmail.com?bcc=6914917@bcc.hubspot.com" TargetMode="External"/><Relationship Id="rId1414" Type="http://schemas.openxmlformats.org/officeDocument/2006/relationships/hyperlink" Target="mailto:nermin29@gmail.com?bcc=6914917@bcc.hubspot.com" TargetMode="External"/><Relationship Id="rId1415" Type="http://schemas.openxmlformats.org/officeDocument/2006/relationships/hyperlink" Target="mailto:Moinskhan@yahoo.com?bcc=6914917@bcc.hubspot.com" TargetMode="External"/><Relationship Id="rId1416" Type="http://schemas.openxmlformats.org/officeDocument/2006/relationships/hyperlink" Target="mailto:shenouda_adeb@yahoo.com?bcc=6914917@bcc.hubspot.com" TargetMode="External"/><Relationship Id="rId1417" Type="http://schemas.openxmlformats.org/officeDocument/2006/relationships/hyperlink" Target="mailto:sarbjit1974@icloud.com?bcc=6914917@bcc.hubspot.com" TargetMode="External"/><Relationship Id="rId1418" Type="http://schemas.openxmlformats.org/officeDocument/2006/relationships/hyperlink" Target="mailto:ahmadadeel81@yahoo.co.in?bcc=6914917@bcc.hubspot.com" TargetMode="External"/><Relationship Id="rId1419" Type="http://schemas.openxmlformats.org/officeDocument/2006/relationships/hyperlink" Target="mailto:grytchenko@icloud.com?bcc=6914917@bcc.hubspot.com" TargetMode="External"/><Relationship Id="rId1410" Type="http://schemas.openxmlformats.org/officeDocument/2006/relationships/hyperlink" Target="mailto:shahmedical73@gmail.com?bcc=6914917@bcc.hubspot.com" TargetMode="External"/><Relationship Id="rId1400" Type="http://schemas.openxmlformats.org/officeDocument/2006/relationships/hyperlink" Target="mailto:ehtishamikram@hotmail.com?bcc=6914917@bcc.hubspot.com" TargetMode="External"/><Relationship Id="rId1401" Type="http://schemas.openxmlformats.org/officeDocument/2006/relationships/hyperlink" Target="mailto:6252333@gmail.com?bcc=6914917@bcc.hubspot.com" TargetMode="External"/><Relationship Id="rId1402" Type="http://schemas.openxmlformats.org/officeDocument/2006/relationships/hyperlink" Target="mailto:biomed11@hotmail.com?bcc=6914917@bcc.hubspot.com" TargetMode="External"/><Relationship Id="rId1403" Type="http://schemas.openxmlformats.org/officeDocument/2006/relationships/hyperlink" Target="mailto:karimasakma@yahoo.com?bcc=6914917@bcc.hubspot.com" TargetMode="External"/><Relationship Id="rId1404" Type="http://schemas.openxmlformats.org/officeDocument/2006/relationships/hyperlink" Target="mailto:dyar-alsham@hotmail.com?bcc=6914917@bcc.hubspot.com" TargetMode="External"/><Relationship Id="rId1405" Type="http://schemas.openxmlformats.org/officeDocument/2006/relationships/hyperlink" Target="mailto:gihanaziz@gmail.com?bcc=6914917@bcc.hubspot.com" TargetMode="External"/><Relationship Id="rId1406" Type="http://schemas.openxmlformats.org/officeDocument/2006/relationships/hyperlink" Target="mailto:mmm2803@hotmail.com?bcc=6914917@bcc.hubspot.com" TargetMode="External"/><Relationship Id="rId1407" Type="http://schemas.openxmlformats.org/officeDocument/2006/relationships/hyperlink" Target="mailto:matthew2304@msn.com?bcc=6914917@bcc.hubspot.com" TargetMode="External"/><Relationship Id="rId1408" Type="http://schemas.openxmlformats.org/officeDocument/2006/relationships/hyperlink" Target="mailto:mohdmustafa786@outlook.com?bcc=6914917@bcc.hubspot.com" TargetMode="External"/><Relationship Id="rId1409" Type="http://schemas.openxmlformats.org/officeDocument/2006/relationships/hyperlink" Target="mailto:nassanjuma@gmail.com?bcc=6914917@bcc.hubspot.com" TargetMode="External"/><Relationship Id="rId1433" Type="http://schemas.openxmlformats.org/officeDocument/2006/relationships/hyperlink" Target="mailto:saber_ali22@hotmail.com?bcc=6914917@bcc.hubspot.com" TargetMode="External"/><Relationship Id="rId1434" Type="http://schemas.openxmlformats.org/officeDocument/2006/relationships/hyperlink" Target="mailto:Wmerhej@me.com?bcc=6914917@bcc.hubspot.com" TargetMode="External"/><Relationship Id="rId1435" Type="http://schemas.openxmlformats.org/officeDocument/2006/relationships/hyperlink" Target="mailto:mymuaf@hotmail.com?bcc=6914917@bcc.hubspot.com" TargetMode="External"/><Relationship Id="rId1436" Type="http://schemas.openxmlformats.org/officeDocument/2006/relationships/hyperlink" Target="mailto:ali.hedjem@yahoo.fr?bcc=6914917@bcc.hubspot.com" TargetMode="External"/><Relationship Id="rId1437" Type="http://schemas.openxmlformats.org/officeDocument/2006/relationships/hyperlink" Target="mailto:mohdsaed2010@hotmail.com?bcc=6914917@bcc.hubspot.com" TargetMode="External"/><Relationship Id="rId1438" Type="http://schemas.openxmlformats.org/officeDocument/2006/relationships/hyperlink" Target="mailto:Nigen.a@hotmail.com?bcc=6914917@bcc.hubspot.com" TargetMode="External"/><Relationship Id="rId1439" Type="http://schemas.openxmlformats.org/officeDocument/2006/relationships/hyperlink" Target="mailto:dhruv_patel1506@yahoo.co.uk?bcc=6914917@bcc.hubspot.com" TargetMode="External"/><Relationship Id="rId609" Type="http://schemas.openxmlformats.org/officeDocument/2006/relationships/hyperlink" Target="mailto:gog@gmail.com?bcc=6914917@bcc.hubspot.com" TargetMode="External"/><Relationship Id="rId608" Type="http://schemas.openxmlformats.org/officeDocument/2006/relationships/hyperlink" Target="mailto:ah.mohsen.90@gmail.com?bcc=6914917@bcc.hubspot.com" TargetMode="External"/><Relationship Id="rId607" Type="http://schemas.openxmlformats.org/officeDocument/2006/relationships/hyperlink" Target="mailto:noon66366@gmail.com?bcc=6914917@bcc.hubspot.com" TargetMode="External"/><Relationship Id="rId602" Type="http://schemas.openxmlformats.org/officeDocument/2006/relationships/hyperlink" Target="mailto:mhdabo3roa@gmail.com?bcc=6914917@bcc.hubspot.com" TargetMode="External"/><Relationship Id="rId601" Type="http://schemas.openxmlformats.org/officeDocument/2006/relationships/hyperlink" Target="mailto:najiba155@gmail.com?bcc=6914917@bcc.hubspot.com" TargetMode="External"/><Relationship Id="rId600" Type="http://schemas.openxmlformats.org/officeDocument/2006/relationships/hyperlink" Target="mailto:Awolumateidris@gmail.com?bcc=6914917@bcc.hubspot.com" TargetMode="External"/><Relationship Id="rId606" Type="http://schemas.openxmlformats.org/officeDocument/2006/relationships/hyperlink" Target="mailto:sljoodlee@gmail.com?bcc=6914917@bcc.hubspot.com" TargetMode="External"/><Relationship Id="rId605" Type="http://schemas.openxmlformats.org/officeDocument/2006/relationships/hyperlink" Target="mailto:mehdi.kedjour@gmail.com?bcc=6914917@bcc.hubspot.com" TargetMode="External"/><Relationship Id="rId604" Type="http://schemas.openxmlformats.org/officeDocument/2006/relationships/hyperlink" Target="mailto:samassi_1985@yahoo.com?bcc=6914917@bcc.hubspot.com" TargetMode="External"/><Relationship Id="rId603" Type="http://schemas.openxmlformats.org/officeDocument/2006/relationships/hyperlink" Target="mailto:bo_hadif_101@hotmail.com?bcc=6914917@bcc.hubspot.com" TargetMode="External"/><Relationship Id="rId1430" Type="http://schemas.openxmlformats.org/officeDocument/2006/relationships/hyperlink" Target="mailto:akhtar.guard@gmail.com?bcc=6914917@bcc.hubspot.com" TargetMode="External"/><Relationship Id="rId1431" Type="http://schemas.openxmlformats.org/officeDocument/2006/relationships/hyperlink" Target="mailto:goran@geneza.com?bcc=6914917@bcc.hubspot.com" TargetMode="External"/><Relationship Id="rId1432" Type="http://schemas.openxmlformats.org/officeDocument/2006/relationships/hyperlink" Target="mailto:mohiu@mail.com?bcc=6914917@bcc.hubspot.com" TargetMode="External"/><Relationship Id="rId1422" Type="http://schemas.openxmlformats.org/officeDocument/2006/relationships/hyperlink" Target="mailto:abmdq@yahoo.com?bcc=6914917@bcc.hubspot.com" TargetMode="External"/><Relationship Id="rId1423" Type="http://schemas.openxmlformats.org/officeDocument/2006/relationships/hyperlink" Target="mailto:warraich0999@yahoo.com?bcc=6914917@bcc.hubspot.com" TargetMode="External"/><Relationship Id="rId1424" Type="http://schemas.openxmlformats.org/officeDocument/2006/relationships/hyperlink" Target="mailto:sumilcv@hotmail.com?bcc=6914917@bcc.hubspot.com" TargetMode="External"/><Relationship Id="rId1425" Type="http://schemas.openxmlformats.org/officeDocument/2006/relationships/hyperlink" Target="mailto:ooosooo2016@gmail.com?bcc=6914917@bcc.hubspot.com" TargetMode="External"/><Relationship Id="rId1426" Type="http://schemas.openxmlformats.org/officeDocument/2006/relationships/hyperlink" Target="mailto:ama.sensei@yahoo.fr?bcc=6914917@bcc.hubspot.com" TargetMode="External"/><Relationship Id="rId1427" Type="http://schemas.openxmlformats.org/officeDocument/2006/relationships/hyperlink" Target="mailto:raedqaqish@hotmail.com?bcc=6914917@bcc.hubspot.com" TargetMode="External"/><Relationship Id="rId1428" Type="http://schemas.openxmlformats.org/officeDocument/2006/relationships/hyperlink" Target="mailto:herbert@groeller.at?bcc=6914917@bcc.hubspot.com" TargetMode="External"/><Relationship Id="rId1429" Type="http://schemas.openxmlformats.org/officeDocument/2006/relationships/hyperlink" Target="mailto:matthew2304@msn.com?bcc=6914917@bcc.hubspot.com" TargetMode="External"/><Relationship Id="rId1420" Type="http://schemas.openxmlformats.org/officeDocument/2006/relationships/hyperlink" Target="mailto:airo0001@hotmail.com?bcc=6914917@bcc.hubspot.com" TargetMode="External"/><Relationship Id="rId1421" Type="http://schemas.openxmlformats.org/officeDocument/2006/relationships/hyperlink" Target="mailto:m.mubarak636@gmail.com?bcc=6914917@bcc.hubspot.com" TargetMode="External"/><Relationship Id="rId1059" Type="http://schemas.openxmlformats.org/officeDocument/2006/relationships/hyperlink" Target="mailto:alshamsi.fa@gmail.com?bcc=6914917@bcc.hubspot.com" TargetMode="External"/><Relationship Id="rId228" Type="http://schemas.openxmlformats.org/officeDocument/2006/relationships/hyperlink" Target="mailto:alzouabi.souzan@gmail.com?bcc=6914917@bcc.hubspot.com" TargetMode="External"/><Relationship Id="rId227" Type="http://schemas.openxmlformats.org/officeDocument/2006/relationships/hyperlink" Target="mailto:omar.qushair@gmail.com?bcc=6914917@bcc.hubspot.com" TargetMode="External"/><Relationship Id="rId226" Type="http://schemas.openxmlformats.org/officeDocument/2006/relationships/hyperlink" Target="mailto:mari7171am@gmail.com?bcc=6914917@bcc.hubspot.com" TargetMode="External"/><Relationship Id="rId225" Type="http://schemas.openxmlformats.org/officeDocument/2006/relationships/hyperlink" Target="mailto:fida.shinder@gmail.com?bcc=6914917@bcc.hubspot.com" TargetMode="External"/><Relationship Id="rId229" Type="http://schemas.openxmlformats.org/officeDocument/2006/relationships/hyperlink" Target="mailto:engmohd75@hotmail.com?bcc=6914917@bcc.hubspot.com" TargetMode="External"/><Relationship Id="rId1050" Type="http://schemas.openxmlformats.org/officeDocument/2006/relationships/hyperlink" Target="mailto:etharhom@hotmail.com?bcc=6914917@bcc.hubspot.com" TargetMode="External"/><Relationship Id="rId220" Type="http://schemas.openxmlformats.org/officeDocument/2006/relationships/hyperlink" Target="mailto:genevira@yahoo.co.in?bcc=6914917@bcc.hubspot.com" TargetMode="External"/><Relationship Id="rId1051" Type="http://schemas.openxmlformats.org/officeDocument/2006/relationships/hyperlink" Target="mailto:firassabbass27@icloud.com?bcc=6914917@bcc.hubspot.com" TargetMode="External"/><Relationship Id="rId1052" Type="http://schemas.openxmlformats.org/officeDocument/2006/relationships/hyperlink" Target="mailto:hamdaldw806@gmail.com?bcc=6914917@bcc.hubspot.com" TargetMode="External"/><Relationship Id="rId1053" Type="http://schemas.openxmlformats.org/officeDocument/2006/relationships/hyperlink" Target="mailto:shilpa.khushalhingorani@yahoo.com?bcc=6914917@bcc.hubspot.com" TargetMode="External"/><Relationship Id="rId1054" Type="http://schemas.openxmlformats.org/officeDocument/2006/relationships/hyperlink" Target="mailto:bianca310@hotmail.co.uk?bcc=6914917@bcc.hubspot.com" TargetMode="External"/><Relationship Id="rId224" Type="http://schemas.openxmlformats.org/officeDocument/2006/relationships/hyperlink" Target="mailto:info@igsargroup.com?bcc=6914917@bcc.hubspot.com" TargetMode="External"/><Relationship Id="rId1055" Type="http://schemas.openxmlformats.org/officeDocument/2006/relationships/hyperlink" Target="mailto:suisumsang@gmail.com?bcc=6914917@bcc.hubspot.com" TargetMode="External"/><Relationship Id="rId223" Type="http://schemas.openxmlformats.org/officeDocument/2006/relationships/hyperlink" Target="mailto:janet.o.gabriel@gmail.com?bcc=6914917@bcc.hubspot.com" TargetMode="External"/><Relationship Id="rId1056" Type="http://schemas.openxmlformats.org/officeDocument/2006/relationships/hyperlink" Target="mailto:emveepifze@gmail.com?bcc=6914917@bcc.hubspot.com" TargetMode="External"/><Relationship Id="rId222" Type="http://schemas.openxmlformats.org/officeDocument/2006/relationships/hyperlink" Target="mailto:rashed898@hotmail.com?bcc=6914917@bcc.hubspot.com" TargetMode="External"/><Relationship Id="rId1057" Type="http://schemas.openxmlformats.org/officeDocument/2006/relationships/hyperlink" Target="mailto:emaratisuperstar@gmail.com?bcc=6914917@bcc.hubspot.com" TargetMode="External"/><Relationship Id="rId221" Type="http://schemas.openxmlformats.org/officeDocument/2006/relationships/hyperlink" Target="mailto:alsharafiahmed@yahoo.com?bcc=6914917@bcc.hubspot.com" TargetMode="External"/><Relationship Id="rId1058" Type="http://schemas.openxmlformats.org/officeDocument/2006/relationships/hyperlink" Target="mailto:myb2152@gmail.com?bcc=6914917@bcc.hubspot.com" TargetMode="External"/><Relationship Id="rId1048" Type="http://schemas.openxmlformats.org/officeDocument/2006/relationships/hyperlink" Target="mailto:khaled010858@hotmail.com?bcc=6914917@bcc.hubspot.com" TargetMode="External"/><Relationship Id="rId1049" Type="http://schemas.openxmlformats.org/officeDocument/2006/relationships/hyperlink" Target="mailto:chongmix55@gmail.com?bcc=6914917@bcc.hubspot.com" TargetMode="External"/><Relationship Id="rId217" Type="http://schemas.openxmlformats.org/officeDocument/2006/relationships/hyperlink" Target="mailto:maherelawar@hotmail.com?bcc=6914917@bcc.hubspot.com" TargetMode="External"/><Relationship Id="rId216" Type="http://schemas.openxmlformats.org/officeDocument/2006/relationships/hyperlink" Target="mailto:neerajsachdeva33@yahoo.com?bcc=6914917@bcc.hubspot.com" TargetMode="External"/><Relationship Id="rId215" Type="http://schemas.openxmlformats.org/officeDocument/2006/relationships/hyperlink" Target="mailto:nasser.thabet@outlook.com?bcc=6914917@bcc.hubspot.com" TargetMode="External"/><Relationship Id="rId699" Type="http://schemas.openxmlformats.org/officeDocument/2006/relationships/hyperlink" Target="mailto:911mashari@gmail.com?bcc=6914917@bcc.hubspot.com" TargetMode="External"/><Relationship Id="rId214" Type="http://schemas.openxmlformats.org/officeDocument/2006/relationships/hyperlink" Target="mailto:paulprasens@gmail.com?bcc=6914917@bcc.hubspot.com" TargetMode="External"/><Relationship Id="rId698" Type="http://schemas.openxmlformats.org/officeDocument/2006/relationships/hyperlink" Target="mailto:emesawa@gmail.com?bcc=6914917@bcc.hubspot.com" TargetMode="External"/><Relationship Id="rId219" Type="http://schemas.openxmlformats.org/officeDocument/2006/relationships/hyperlink" Target="mailto:mze.safa@gmail.com?bcc=6914917@bcc.hubspot.com" TargetMode="External"/><Relationship Id="rId218" Type="http://schemas.openxmlformats.org/officeDocument/2006/relationships/hyperlink" Target="mailto:gatadah_jo@yahoo.com?bcc=6914917@bcc.hubspot.com" TargetMode="External"/><Relationship Id="rId693" Type="http://schemas.openxmlformats.org/officeDocument/2006/relationships/hyperlink" Target="mailto:a.alialhammadi999@gmail.com?bcc=6914917@bcc.hubspot.com" TargetMode="External"/><Relationship Id="rId1040" Type="http://schemas.openxmlformats.org/officeDocument/2006/relationships/hyperlink" Target="mailto:sofia_st@rambler.ru?bcc=6914917@bcc.hubspot.com" TargetMode="External"/><Relationship Id="rId692" Type="http://schemas.openxmlformats.org/officeDocument/2006/relationships/hyperlink" Target="mailto:bachir.sebaaly@nesma.com?bcc=6914917@bcc.hubspot.com" TargetMode="External"/><Relationship Id="rId1041" Type="http://schemas.openxmlformats.org/officeDocument/2006/relationships/hyperlink" Target="mailto:saifmeer92@gmail.com?bcc=6914917@bcc.hubspot.com" TargetMode="External"/><Relationship Id="rId691" Type="http://schemas.openxmlformats.org/officeDocument/2006/relationships/hyperlink" Target="mailto:fatema.j.khatun@gmail.com?bcc=6914917@bcc.hubspot.com" TargetMode="External"/><Relationship Id="rId1042" Type="http://schemas.openxmlformats.org/officeDocument/2006/relationships/hyperlink" Target="mailto:afif.murad@hotmail.com?bcc=6914917@bcc.hubspot.com" TargetMode="External"/><Relationship Id="rId690" Type="http://schemas.openxmlformats.org/officeDocument/2006/relationships/hyperlink" Target="mailto:ibrahim@group4lifeuae.com?bcc=6914917@bcc.hubspot.com" TargetMode="External"/><Relationship Id="rId1043" Type="http://schemas.openxmlformats.org/officeDocument/2006/relationships/hyperlink" Target="mailto:hzayani@alqadihospital.com?bcc=6914917@bcc.hubspot.com" TargetMode="External"/><Relationship Id="rId213" Type="http://schemas.openxmlformats.org/officeDocument/2006/relationships/hyperlink" Target="mailto:milad.thorn@gmail.com?bcc=6914917@bcc.hubspot.com" TargetMode="External"/><Relationship Id="rId697" Type="http://schemas.openxmlformats.org/officeDocument/2006/relationships/hyperlink" Target="mailto:modyabdullah@hotmail.com?bcc=6914917@bcc.hubspot.com" TargetMode="External"/><Relationship Id="rId1044" Type="http://schemas.openxmlformats.org/officeDocument/2006/relationships/hyperlink" Target="mailto:alkhalid377@gmail.com?bcc=6914917@bcc.hubspot.com" TargetMode="External"/><Relationship Id="rId212" Type="http://schemas.openxmlformats.org/officeDocument/2006/relationships/hyperlink" Target="mailto:a7070a@hotmail.com?bcc=6914917@bcc.hubspot.com" TargetMode="External"/><Relationship Id="rId696" Type="http://schemas.openxmlformats.org/officeDocument/2006/relationships/hyperlink" Target="mailto:ehabmsq@yahoo.com?bcc=6914917@bcc.hubspot.com" TargetMode="External"/><Relationship Id="rId1045" Type="http://schemas.openxmlformats.org/officeDocument/2006/relationships/hyperlink" Target="mailto:vickytattar18@gmail.com?bcc=6914917@bcc.hubspot.com" TargetMode="External"/><Relationship Id="rId211" Type="http://schemas.openxmlformats.org/officeDocument/2006/relationships/hyperlink" Target="mailto:maghawry@gmail.com?bcc=6914917@bcc.hubspot.com" TargetMode="External"/><Relationship Id="rId695" Type="http://schemas.openxmlformats.org/officeDocument/2006/relationships/hyperlink" Target="mailto:aljemri@hotmail.com?bcc=6914917@bcc.hubspot.com" TargetMode="External"/><Relationship Id="rId1046" Type="http://schemas.openxmlformats.org/officeDocument/2006/relationships/hyperlink" Target="mailto:atef-72@hotmail.com?bcc=6914917@bcc.hubspot.com" TargetMode="External"/><Relationship Id="rId210" Type="http://schemas.openxmlformats.org/officeDocument/2006/relationships/hyperlink" Target="mailto:ali_salmamkhan@msn.com?bcc=6914917@bcc.hubspot.com" TargetMode="External"/><Relationship Id="rId694" Type="http://schemas.openxmlformats.org/officeDocument/2006/relationships/hyperlink" Target="mailto:ahmedhamdiiiiiii@icloud.com?bcc=6914917@bcc.hubspot.com" TargetMode="External"/><Relationship Id="rId1047" Type="http://schemas.openxmlformats.org/officeDocument/2006/relationships/hyperlink" Target="mailto:hassan.ayan.tr@gmail.com?bcc=6914917@bcc.hubspot.com" TargetMode="External"/><Relationship Id="rId249" Type="http://schemas.openxmlformats.org/officeDocument/2006/relationships/hyperlink" Target="mailto:manal@alimar-tt.com?bcc=6914917@bcc.hubspot.com" TargetMode="External"/><Relationship Id="rId248" Type="http://schemas.openxmlformats.org/officeDocument/2006/relationships/hyperlink" Target="mailto:kamel951@gmail.com?bcc=6914917@bcc.hubspot.com" TargetMode="External"/><Relationship Id="rId247" Type="http://schemas.openxmlformats.org/officeDocument/2006/relationships/hyperlink" Target="mailto:rohitt.wassan@gmail.com?bcc=6914917@bcc.hubspot.com" TargetMode="External"/><Relationship Id="rId1070" Type="http://schemas.openxmlformats.org/officeDocument/2006/relationships/hyperlink" Target="mailto:ameena.juma754@gmail.com?bcc=6914917@bcc.hubspot.com" TargetMode="External"/><Relationship Id="rId1071" Type="http://schemas.openxmlformats.org/officeDocument/2006/relationships/hyperlink" Target="mailto:rasha00961@hotmail.com?bcc=6914917@bcc.hubspot.com" TargetMode="External"/><Relationship Id="rId1072" Type="http://schemas.openxmlformats.org/officeDocument/2006/relationships/hyperlink" Target="mailto:dralam1982@hotmail.com?bcc=6914917@bcc.hubspot.com" TargetMode="External"/><Relationship Id="rId242" Type="http://schemas.openxmlformats.org/officeDocument/2006/relationships/hyperlink" Target="mailto:prsure@gmail.com?bcc=6914917@bcc.hubspot.com" TargetMode="External"/><Relationship Id="rId1073" Type="http://schemas.openxmlformats.org/officeDocument/2006/relationships/hyperlink" Target="mailto:yueacf@yahoo.com?bcc=6914917@bcc.hubspot.com" TargetMode="External"/><Relationship Id="rId241" Type="http://schemas.openxmlformats.org/officeDocument/2006/relationships/hyperlink" Target="mailto:srrajan1991@gmail.com?bcc=6914917@bcc.hubspot.com" TargetMode="External"/><Relationship Id="rId1074" Type="http://schemas.openxmlformats.org/officeDocument/2006/relationships/hyperlink" Target="mailto:nithin_kn2000@yahoo.co.in?bcc=6914917@bcc.hubspot.com" TargetMode="External"/><Relationship Id="rId240" Type="http://schemas.openxmlformats.org/officeDocument/2006/relationships/hyperlink" Target="mailto:pandeybharti@yahoo.com?bcc=6914917@bcc.hubspot.com" TargetMode="External"/><Relationship Id="rId1075" Type="http://schemas.openxmlformats.org/officeDocument/2006/relationships/hyperlink" Target="mailto:relsheimy@gmail.com?bcc=6914917@bcc.hubspot.com" TargetMode="External"/><Relationship Id="rId1076" Type="http://schemas.openxmlformats.org/officeDocument/2006/relationships/hyperlink" Target="mailto:liushan21845@gmail.com?bcc=6914917@bcc.hubspot.com" TargetMode="External"/><Relationship Id="rId246" Type="http://schemas.openxmlformats.org/officeDocument/2006/relationships/hyperlink" Target="mailto:das.ratnadeep@gmail.com?bcc=6914917@bcc.hubspot.com" TargetMode="External"/><Relationship Id="rId1077" Type="http://schemas.openxmlformats.org/officeDocument/2006/relationships/hyperlink" Target="mailto:lee8625@hotmail.com?bcc=6914917@bcc.hubspot.com" TargetMode="External"/><Relationship Id="rId245" Type="http://schemas.openxmlformats.org/officeDocument/2006/relationships/hyperlink" Target="mailto:chandan.jaiswal88@gmail.com?bcc=6914917@bcc.hubspot.com" TargetMode="External"/><Relationship Id="rId1078" Type="http://schemas.openxmlformats.org/officeDocument/2006/relationships/hyperlink" Target="mailto:wedad_elsanusi@yahoo.com?bcc=6914917@bcc.hubspot.com" TargetMode="External"/><Relationship Id="rId244" Type="http://schemas.openxmlformats.org/officeDocument/2006/relationships/hyperlink" Target="mailto:ajayd.jaywant@gmail.com?bcc=6914917@bcc.hubspot.com" TargetMode="External"/><Relationship Id="rId1079" Type="http://schemas.openxmlformats.org/officeDocument/2006/relationships/hyperlink" Target="mailto:weely1010@gmail.com?bcc=6914917@bcc.hubspot.com" TargetMode="External"/><Relationship Id="rId243" Type="http://schemas.openxmlformats.org/officeDocument/2006/relationships/hyperlink" Target="mailto:redseacommander@yahoo.com?bcc=6914917@bcc.hubspot.com" TargetMode="External"/><Relationship Id="rId239" Type="http://schemas.openxmlformats.org/officeDocument/2006/relationships/hyperlink" Target="mailto:mstabdulla@yahoo.com?bcc=6914917@bcc.hubspot.com" TargetMode="External"/><Relationship Id="rId238" Type="http://schemas.openxmlformats.org/officeDocument/2006/relationships/hyperlink" Target="mailto:anupravinternational@gmail.com?bcc=6914917@bcc.hubspot.com" TargetMode="External"/><Relationship Id="rId237" Type="http://schemas.openxmlformats.org/officeDocument/2006/relationships/hyperlink" Target="mailto:m_anees@live.com?bcc=6914917@bcc.hubspot.com" TargetMode="External"/><Relationship Id="rId236" Type="http://schemas.openxmlformats.org/officeDocument/2006/relationships/hyperlink" Target="mailto:safindus@gmail.com?bcc=6914917@bcc.hubspot.com" TargetMode="External"/><Relationship Id="rId1060" Type="http://schemas.openxmlformats.org/officeDocument/2006/relationships/hyperlink" Target="mailto:dheerub@hotmail.com?bcc=6914917@bcc.hubspot.com" TargetMode="External"/><Relationship Id="rId1061" Type="http://schemas.openxmlformats.org/officeDocument/2006/relationships/hyperlink" Target="mailto:pkverma2005@yahoo.com?bcc=6914917@bcc.hubspot.com" TargetMode="External"/><Relationship Id="rId231" Type="http://schemas.openxmlformats.org/officeDocument/2006/relationships/hyperlink" Target="mailto:johnkoras@hotmail.com?bcc=6914917@bcc.hubspot.com" TargetMode="External"/><Relationship Id="rId1062" Type="http://schemas.openxmlformats.org/officeDocument/2006/relationships/hyperlink" Target="mailto:shaswatchamaria@gmail.com?bcc=6914917@bcc.hubspot.com" TargetMode="External"/><Relationship Id="rId230" Type="http://schemas.openxmlformats.org/officeDocument/2006/relationships/hyperlink" Target="mailto:arch.manar@gmail.com?bcc=6914917@bcc.hubspot.com" TargetMode="External"/><Relationship Id="rId1063" Type="http://schemas.openxmlformats.org/officeDocument/2006/relationships/hyperlink" Target="mailto:nida@safetyuae.com?bcc=6914917@bcc.hubspot.com" TargetMode="External"/><Relationship Id="rId1064" Type="http://schemas.openxmlformats.org/officeDocument/2006/relationships/hyperlink" Target="mailto:hassanbagban@yahoo.com?bcc=6914917@bcc.hubspot.com" TargetMode="External"/><Relationship Id="rId1065" Type="http://schemas.openxmlformats.org/officeDocument/2006/relationships/hyperlink" Target="mailto:anubhuti83@gmail.com?bcc=6914917@bcc.hubspot.com" TargetMode="External"/><Relationship Id="rId235" Type="http://schemas.openxmlformats.org/officeDocument/2006/relationships/hyperlink" Target="mailto:malmass@gmail.com?bcc=6914917@bcc.hubspot.com" TargetMode="External"/><Relationship Id="rId1066" Type="http://schemas.openxmlformats.org/officeDocument/2006/relationships/hyperlink" Target="mailto:alainabikhalil@gmail.com?bcc=6914917@bcc.hubspot.com" TargetMode="External"/><Relationship Id="rId234" Type="http://schemas.openxmlformats.org/officeDocument/2006/relationships/hyperlink" Target="mailto:kamleshvb@gmail.com?bcc=6914917@bcc.hubspot.com" TargetMode="External"/><Relationship Id="rId1067" Type="http://schemas.openxmlformats.org/officeDocument/2006/relationships/hyperlink" Target="mailto:bonnielee@live.ca?bcc=6914917@bcc.hubspot.com" TargetMode="External"/><Relationship Id="rId233" Type="http://schemas.openxmlformats.org/officeDocument/2006/relationships/hyperlink" Target="mailto:skipyy90@hotmail.com?bcc=6914917@bcc.hubspot.com" TargetMode="External"/><Relationship Id="rId1068" Type="http://schemas.openxmlformats.org/officeDocument/2006/relationships/hyperlink" Target="mailto:umransadiqqq@gmail.com?bcc=6914917@bcc.hubspot.com" TargetMode="External"/><Relationship Id="rId232" Type="http://schemas.openxmlformats.org/officeDocument/2006/relationships/hyperlink" Target="mailto:ceo@group4holdings.com?bcc=6914917@bcc.hubspot.com" TargetMode="External"/><Relationship Id="rId1069" Type="http://schemas.openxmlformats.org/officeDocument/2006/relationships/hyperlink" Target="mailto:nagy.ghanimeh@gmail.com?bcc=6914917@bcc.hubspot.com" TargetMode="External"/><Relationship Id="rId1015" Type="http://schemas.openxmlformats.org/officeDocument/2006/relationships/hyperlink" Target="mailto:nadia.labidi@dewa.gov.ae?bcc=6914917@bcc.hubspot.com" TargetMode="External"/><Relationship Id="rId1499" Type="http://schemas.openxmlformats.org/officeDocument/2006/relationships/hyperlink" Target="mailto:asifsaleem62@gmail.com?bcc=6914917@bcc.hubspot.com" TargetMode="External"/><Relationship Id="rId1016" Type="http://schemas.openxmlformats.org/officeDocument/2006/relationships/hyperlink" Target="mailto:sureshprajapati607@gmail.com?bcc=6914917@bcc.hubspot.com" TargetMode="External"/><Relationship Id="rId1017" Type="http://schemas.openxmlformats.org/officeDocument/2006/relationships/hyperlink" Target="mailto:thetruthsquare@gmail.com?bcc=6914917@bcc.hubspot.com" TargetMode="External"/><Relationship Id="rId1018" Type="http://schemas.openxmlformats.org/officeDocument/2006/relationships/hyperlink" Target="mailto:jimmywcw388@gmail.com?bcc=6914917@bcc.hubspot.com" TargetMode="External"/><Relationship Id="rId1019" Type="http://schemas.openxmlformats.org/officeDocument/2006/relationships/hyperlink" Target="mailto:aliimranceo@gmail.com?bcc=6914917@bcc.hubspot.com" TargetMode="External"/><Relationship Id="rId668" Type="http://schemas.openxmlformats.org/officeDocument/2006/relationships/hyperlink" Target="mailto:bo_saif007@hotmail.com?bcc=6914917@bcc.hubspot.com" TargetMode="External"/><Relationship Id="rId667" Type="http://schemas.openxmlformats.org/officeDocument/2006/relationships/hyperlink" Target="mailto:smfada@gmail.com?bcc=6914917@bcc.hubspot.com" TargetMode="External"/><Relationship Id="rId666" Type="http://schemas.openxmlformats.org/officeDocument/2006/relationships/hyperlink" Target="mailto:ameera_m@hotmail.com?bcc=6914917@bcc.hubspot.com" TargetMode="External"/><Relationship Id="rId665" Type="http://schemas.openxmlformats.org/officeDocument/2006/relationships/hyperlink" Target="mailto:aammr1313@gmail.com?bcc=6914917@bcc.hubspot.com" TargetMode="External"/><Relationship Id="rId669" Type="http://schemas.openxmlformats.org/officeDocument/2006/relationships/hyperlink" Target="mailto:alkataff2000@yahoo.com?bcc=6914917@bcc.hubspot.com" TargetMode="External"/><Relationship Id="rId1490" Type="http://schemas.openxmlformats.org/officeDocument/2006/relationships/hyperlink" Target="mailto:oleg_gan@list.ru?bcc=6914917@bcc.hubspot.com" TargetMode="External"/><Relationship Id="rId660" Type="http://schemas.openxmlformats.org/officeDocument/2006/relationships/hyperlink" Target="mailto:priyanayak207@gmail.com?bcc=6914917@bcc.hubspot.com" TargetMode="External"/><Relationship Id="rId1491" Type="http://schemas.openxmlformats.org/officeDocument/2006/relationships/hyperlink" Target="mailto:andersondasse@yahoo.co.uk?bcc=6914917@bcc.hubspot.com" TargetMode="External"/><Relationship Id="rId1492" Type="http://schemas.openxmlformats.org/officeDocument/2006/relationships/hyperlink" Target="mailto:najamshahid@hotmail.com?bcc=6914917@bcc.hubspot.com" TargetMode="External"/><Relationship Id="rId1493" Type="http://schemas.openxmlformats.org/officeDocument/2006/relationships/hyperlink" Target="mailto:sami6125@yahoo.com?bcc=6914917@bcc.hubspot.com" TargetMode="External"/><Relationship Id="rId1010" Type="http://schemas.openxmlformats.org/officeDocument/2006/relationships/hyperlink" Target="mailto:sadiqa_shakeel@yahoo.com?bcc=6914917@bcc.hubspot.com" TargetMode="External"/><Relationship Id="rId1494" Type="http://schemas.openxmlformats.org/officeDocument/2006/relationships/hyperlink" Target="mailto:altafk74@hotmail.com?bcc=6914917@bcc.hubspot.com" TargetMode="External"/><Relationship Id="rId664" Type="http://schemas.openxmlformats.org/officeDocument/2006/relationships/hyperlink" Target="mailto:zaidshouly@gmail.com?bcc=6914917@bcc.hubspot.com" TargetMode="External"/><Relationship Id="rId1011" Type="http://schemas.openxmlformats.org/officeDocument/2006/relationships/hyperlink" Target="mailto:karamjeethooda@gmail.com?bcc=6914917@bcc.hubspot.com" TargetMode="External"/><Relationship Id="rId1495" Type="http://schemas.openxmlformats.org/officeDocument/2006/relationships/hyperlink" Target="mailto:sharathreddysada@gmail.com?bcc=6914917@bcc.hubspot.com" TargetMode="External"/><Relationship Id="rId663" Type="http://schemas.openxmlformats.org/officeDocument/2006/relationships/hyperlink" Target="mailto:shosho71000@icould.com?bcc=6914917@bcc.hubspot.com" TargetMode="External"/><Relationship Id="rId1012" Type="http://schemas.openxmlformats.org/officeDocument/2006/relationships/hyperlink" Target="mailto:dr.naja@gmail.com?bcc=6914917@bcc.hubspot.com" TargetMode="External"/><Relationship Id="rId1496" Type="http://schemas.openxmlformats.org/officeDocument/2006/relationships/hyperlink" Target="mailto:bhagwanr@hotmail.com?bcc=6914917@bcc.hubspot.com" TargetMode="External"/><Relationship Id="rId662" Type="http://schemas.openxmlformats.org/officeDocument/2006/relationships/hyperlink" Target="mailto:gm@sita-travel.net?bcc=6914917@bcc.hubspot.com" TargetMode="External"/><Relationship Id="rId1013" Type="http://schemas.openxmlformats.org/officeDocument/2006/relationships/hyperlink" Target="mailto:assiloun.b@hotmail.com?bcc=6914917@bcc.hubspot.com" TargetMode="External"/><Relationship Id="rId1497" Type="http://schemas.openxmlformats.org/officeDocument/2006/relationships/hyperlink" Target="mailto:steveexcellent@yahoo.com?bcc=6914917@bcc.hubspot.com" TargetMode="External"/><Relationship Id="rId661" Type="http://schemas.openxmlformats.org/officeDocument/2006/relationships/hyperlink" Target="mailto:h_9993@hotmail.com?bcc=6914917@bcc.hubspot.com" TargetMode="External"/><Relationship Id="rId1014" Type="http://schemas.openxmlformats.org/officeDocument/2006/relationships/hyperlink" Target="mailto:dh.kim@gi-logistic.com?bcc=6914917@bcc.hubspot.com" TargetMode="External"/><Relationship Id="rId1498" Type="http://schemas.openxmlformats.org/officeDocument/2006/relationships/hyperlink" Target="mailto:williambrough55@yahoo.com?bcc=6914917@bcc.hubspot.com" TargetMode="External"/><Relationship Id="rId1004" Type="http://schemas.openxmlformats.org/officeDocument/2006/relationships/hyperlink" Target="mailto:ashish.dhar1974@yahoo.com?bcc=6914917@bcc.hubspot.com" TargetMode="External"/><Relationship Id="rId1488" Type="http://schemas.openxmlformats.org/officeDocument/2006/relationships/hyperlink" Target="mailto:m_sha18@yahoo.com?bcc=6914917@bcc.hubspot.com" TargetMode="External"/><Relationship Id="rId1005" Type="http://schemas.openxmlformats.org/officeDocument/2006/relationships/hyperlink" Target="mailto:ahmed_khashab@hotmail.com?bcc=6914917@bcc.hubspot.com" TargetMode="External"/><Relationship Id="rId1489" Type="http://schemas.openxmlformats.org/officeDocument/2006/relationships/hyperlink" Target="mailto:sami_sayyed@hotmail.com?bcc=6914917@bcc.hubspot.com" TargetMode="External"/><Relationship Id="rId1006" Type="http://schemas.openxmlformats.org/officeDocument/2006/relationships/hyperlink" Target="mailto:sanman1@eim.ae?bcc=6914917@bcc.hubspot.com" TargetMode="External"/><Relationship Id="rId1007" Type="http://schemas.openxmlformats.org/officeDocument/2006/relationships/hyperlink" Target="mailto:mau.delia@libero.it?bcc=6914917@bcc.hubspot.com" TargetMode="External"/><Relationship Id="rId1008" Type="http://schemas.openxmlformats.org/officeDocument/2006/relationships/hyperlink" Target="mailto:chariker45@gmail.com?bcc=6914917@bcc.hubspot.com" TargetMode="External"/><Relationship Id="rId1009" Type="http://schemas.openxmlformats.org/officeDocument/2006/relationships/hyperlink" Target="mailto:tareknour@fecosaudi.com?bcc=6914917@bcc.hubspot.com" TargetMode="External"/><Relationship Id="rId657" Type="http://schemas.openxmlformats.org/officeDocument/2006/relationships/hyperlink" Target="mailto:vipsal@hotmail.com?bcc=6914917@bcc.hubspot.com" TargetMode="External"/><Relationship Id="rId656" Type="http://schemas.openxmlformats.org/officeDocument/2006/relationships/hyperlink" Target="mailto:david_rossier@yahoo.fr?bcc=6914917@bcc.hubspot.com" TargetMode="External"/><Relationship Id="rId655" Type="http://schemas.openxmlformats.org/officeDocument/2006/relationships/hyperlink" Target="mailto:aishamarina@mail.ru?bcc=6914917@bcc.hubspot.com" TargetMode="External"/><Relationship Id="rId654" Type="http://schemas.openxmlformats.org/officeDocument/2006/relationships/hyperlink" Target="mailto:msunalla@msn.com?bcc=6914917@bcc.hubspot.com" TargetMode="External"/><Relationship Id="rId659" Type="http://schemas.openxmlformats.org/officeDocument/2006/relationships/hyperlink" Target="mailto:Nojood2020safi@hotmail.com?bcc=6914917@bcc.hubspot.com" TargetMode="External"/><Relationship Id="rId658" Type="http://schemas.openxmlformats.org/officeDocument/2006/relationships/hyperlink" Target="mailto:ncsatyani@gmail.com?bcc=6914917@bcc.hubspot.com" TargetMode="External"/><Relationship Id="rId1480" Type="http://schemas.openxmlformats.org/officeDocument/2006/relationships/hyperlink" Target="mailto:jorge.escobar@insidequity.com?bcc=6914917@bcc.hubspot.com" TargetMode="External"/><Relationship Id="rId1481" Type="http://schemas.openxmlformats.org/officeDocument/2006/relationships/hyperlink" Target="mailto:n.mughrabi@hotmail.com?bcc=6914917@bcc.hubspot.com" TargetMode="External"/><Relationship Id="rId1482" Type="http://schemas.openxmlformats.org/officeDocument/2006/relationships/hyperlink" Target="mailto:ayman@celergroup.com?bcc=6914917@bcc.hubspot.com" TargetMode="External"/><Relationship Id="rId1483" Type="http://schemas.openxmlformats.org/officeDocument/2006/relationships/hyperlink" Target="mailto:Melmounir@gmail.com?bcc=6914917@bcc.hubspot.com" TargetMode="External"/><Relationship Id="rId653" Type="http://schemas.openxmlformats.org/officeDocument/2006/relationships/hyperlink" Target="mailto:enigma.doc@gmail.com?bcc=6914917@bcc.hubspot.com" TargetMode="External"/><Relationship Id="rId1000" Type="http://schemas.openxmlformats.org/officeDocument/2006/relationships/hyperlink" Target="mailto:munirasuleyman@gmail.com?bcc=6914917@bcc.hubspot.com" TargetMode="External"/><Relationship Id="rId1484" Type="http://schemas.openxmlformats.org/officeDocument/2006/relationships/hyperlink" Target="mailto:malz_73@hotmail.com?bcc=6914917@bcc.hubspot.com" TargetMode="External"/><Relationship Id="rId652" Type="http://schemas.openxmlformats.org/officeDocument/2006/relationships/hyperlink" Target="mailto:ahmadabunijem.aan@gmail.com?bcc=6914917@bcc.hubspot.com" TargetMode="External"/><Relationship Id="rId1001" Type="http://schemas.openxmlformats.org/officeDocument/2006/relationships/hyperlink" Target="mailto:mohsinraja80@yahoo.com?bcc=6914917@bcc.hubspot.com" TargetMode="External"/><Relationship Id="rId1485" Type="http://schemas.openxmlformats.org/officeDocument/2006/relationships/hyperlink" Target="mailto:cloud0odai@gmail.com?bcc=6914917@bcc.hubspot.com" TargetMode="External"/><Relationship Id="rId651" Type="http://schemas.openxmlformats.org/officeDocument/2006/relationships/hyperlink" Target="mailto:khelifimourad@yahoo.fr?bcc=6914917@bcc.hubspot.com" TargetMode="External"/><Relationship Id="rId1002" Type="http://schemas.openxmlformats.org/officeDocument/2006/relationships/hyperlink" Target="mailto:zaheer@tritechuae.com?bcc=6914917@bcc.hubspot.com" TargetMode="External"/><Relationship Id="rId1486" Type="http://schemas.openxmlformats.org/officeDocument/2006/relationships/hyperlink" Target="mailto:zunerausman@yahoo.com?bcc=6914917@bcc.hubspot.com" TargetMode="External"/><Relationship Id="rId650" Type="http://schemas.openxmlformats.org/officeDocument/2006/relationships/hyperlink" Target="mailto:basmamohamed.uae@gmail.com?bcc=6914917@bcc.hubspot.com" TargetMode="External"/><Relationship Id="rId1003" Type="http://schemas.openxmlformats.org/officeDocument/2006/relationships/hyperlink" Target="mailto:moh.fani@yahoo.com?bcc=6914917@bcc.hubspot.com" TargetMode="External"/><Relationship Id="rId1487" Type="http://schemas.openxmlformats.org/officeDocument/2006/relationships/hyperlink" Target="mailto:h.bensalem@man-brothers-arabian-group.com?bcc=6914917@bcc.hubspot.com" TargetMode="External"/><Relationship Id="rId1037" Type="http://schemas.openxmlformats.org/officeDocument/2006/relationships/hyperlink" Target="mailto:naser.rifai@yahoo.com?bcc=6914917@bcc.hubspot.com" TargetMode="External"/><Relationship Id="rId1038" Type="http://schemas.openxmlformats.org/officeDocument/2006/relationships/hyperlink" Target="mailto:ravi_agarwal5@hotmail.com?bcc=6914917@bcc.hubspot.com" TargetMode="External"/><Relationship Id="rId1039" Type="http://schemas.openxmlformats.org/officeDocument/2006/relationships/hyperlink" Target="mailto:bdisiehebb@aol.com?bcc=6914917@bcc.hubspot.com" TargetMode="External"/><Relationship Id="rId206" Type="http://schemas.openxmlformats.org/officeDocument/2006/relationships/hyperlink" Target="mailto:aalahazrat@gmail.com?bcc=6914917@bcc.hubspot.com" TargetMode="External"/><Relationship Id="rId205" Type="http://schemas.openxmlformats.org/officeDocument/2006/relationships/hyperlink" Target="mailto:abdullah@insaftrd.com?bcc=6914917@bcc.hubspot.com" TargetMode="External"/><Relationship Id="rId689" Type="http://schemas.openxmlformats.org/officeDocument/2006/relationships/hyperlink" Target="mailto:alawadi2211@hotmail.com?bcc=6914917@bcc.hubspot.com" TargetMode="External"/><Relationship Id="rId204" Type="http://schemas.openxmlformats.org/officeDocument/2006/relationships/hyperlink" Target="mailto:dralameri@hotmail.com?bcc=6914917@bcc.hubspot.com" TargetMode="External"/><Relationship Id="rId688" Type="http://schemas.openxmlformats.org/officeDocument/2006/relationships/hyperlink" Target="mailto:dina.aj.27@gmail.com?bcc=6914917@bcc.hubspot.com" TargetMode="External"/><Relationship Id="rId203" Type="http://schemas.openxmlformats.org/officeDocument/2006/relationships/hyperlink" Target="mailto:javed_abbas76@yahoo.com?bcc=6914917@bcc.hubspot.com" TargetMode="External"/><Relationship Id="rId687" Type="http://schemas.openxmlformats.org/officeDocument/2006/relationships/hyperlink" Target="mailto:ben.rozario@gmail.com?bcc=6914917@bcc.hubspot.com" TargetMode="External"/><Relationship Id="rId209" Type="http://schemas.openxmlformats.org/officeDocument/2006/relationships/hyperlink" Target="mailto:guptapavan65@gmail.com?bcc=6914917@bcc.hubspot.com" TargetMode="External"/><Relationship Id="rId208" Type="http://schemas.openxmlformats.org/officeDocument/2006/relationships/hyperlink" Target="mailto:ziadjeha2@gmail.com?bcc=6914917@bcc.hubspot.com" TargetMode="External"/><Relationship Id="rId207" Type="http://schemas.openxmlformats.org/officeDocument/2006/relationships/hyperlink" Target="mailto:ghanem.alali@gmail.com?bcc=6914917@bcc.hubspot.com" TargetMode="External"/><Relationship Id="rId682" Type="http://schemas.openxmlformats.org/officeDocument/2006/relationships/hyperlink" Target="mailto:danmerf@yahoo.com?bcc=6914917@bcc.hubspot.com" TargetMode="External"/><Relationship Id="rId681" Type="http://schemas.openxmlformats.org/officeDocument/2006/relationships/hyperlink" Target="mailto:florendo@blackpearlconsult.com?bcc=6914917@bcc.hubspot.com" TargetMode="External"/><Relationship Id="rId1030" Type="http://schemas.openxmlformats.org/officeDocument/2006/relationships/hyperlink" Target="mailto:andyc425@yahoo.co.uk?bcc=6914917@bcc.hubspot.com" TargetMode="External"/><Relationship Id="rId680" Type="http://schemas.openxmlformats.org/officeDocument/2006/relationships/hyperlink" Target="mailto:King.ad20086@gmail.com?bcc=6914917@bcc.hubspot.com" TargetMode="External"/><Relationship Id="rId1031" Type="http://schemas.openxmlformats.org/officeDocument/2006/relationships/hyperlink" Target="mailto:bengallou.fz@gmail.com?bcc=6914917@bcc.hubspot.com" TargetMode="External"/><Relationship Id="rId1032" Type="http://schemas.openxmlformats.org/officeDocument/2006/relationships/hyperlink" Target="mailto:angel_fairy3319@yahoo.com?bcc=6914917@bcc.hubspot.com" TargetMode="External"/><Relationship Id="rId202" Type="http://schemas.openxmlformats.org/officeDocument/2006/relationships/hyperlink" Target="mailto:aziz_r3@hotmail.com?bcc=6914917@bcc.hubspot.com" TargetMode="External"/><Relationship Id="rId686" Type="http://schemas.openxmlformats.org/officeDocument/2006/relationships/hyperlink" Target="mailto:Abdelrahim@alrikaz.com.sa?bcc=6914917@bcc.hubspot.com" TargetMode="External"/><Relationship Id="rId1033" Type="http://schemas.openxmlformats.org/officeDocument/2006/relationships/hyperlink" Target="mailto:fhendieh63@yahoo.com?bcc=6914917@bcc.hubspot.com" TargetMode="External"/><Relationship Id="rId201" Type="http://schemas.openxmlformats.org/officeDocument/2006/relationships/hyperlink" Target="mailto:charlene@sciberras.com?bcc=6914917@bcc.hubspot.com" TargetMode="External"/><Relationship Id="rId685" Type="http://schemas.openxmlformats.org/officeDocument/2006/relationships/hyperlink" Target="mailto:sajithvv79@yahoo.co.in?bcc=6914917@bcc.hubspot.com" TargetMode="External"/><Relationship Id="rId1034" Type="http://schemas.openxmlformats.org/officeDocument/2006/relationships/hyperlink" Target="mailto:sanman1@eim.ae?bcc=6914917@bcc.hubspot.com" TargetMode="External"/><Relationship Id="rId200" Type="http://schemas.openxmlformats.org/officeDocument/2006/relationships/hyperlink" Target="mailto:himmat100@hotmail.com?bcc=6914917@bcc.hubspot.com" TargetMode="External"/><Relationship Id="rId684" Type="http://schemas.openxmlformats.org/officeDocument/2006/relationships/hyperlink" Target="mailto:labeah@hotmail.com?bcc=6914917@bcc.hubspot.com" TargetMode="External"/><Relationship Id="rId1035" Type="http://schemas.openxmlformats.org/officeDocument/2006/relationships/hyperlink" Target="mailto:alia-1981@hotmail.com?bcc=6914917@bcc.hubspot.com" TargetMode="External"/><Relationship Id="rId683" Type="http://schemas.openxmlformats.org/officeDocument/2006/relationships/hyperlink" Target="mailto:dr_alsulami@live.com?bcc=6914917@bcc.hubspot.com" TargetMode="External"/><Relationship Id="rId1036" Type="http://schemas.openxmlformats.org/officeDocument/2006/relationships/hyperlink" Target="mailto:nikhilpanigrahy@gmail.com?bcc=6914917@bcc.hubspot.com" TargetMode="External"/><Relationship Id="rId1026" Type="http://schemas.openxmlformats.org/officeDocument/2006/relationships/hyperlink" Target="mailto:mustafa.hashim.omer@gmail.com?bcc=6914917@bcc.hubspot.com" TargetMode="External"/><Relationship Id="rId1027" Type="http://schemas.openxmlformats.org/officeDocument/2006/relationships/hyperlink" Target="mailto:salem@sasintl.co?bcc=6914917@bcc.hubspot.com" TargetMode="External"/><Relationship Id="rId1028" Type="http://schemas.openxmlformats.org/officeDocument/2006/relationships/hyperlink" Target="mailto:mze.safa@gmail.com?bcc=6914917@bcc.hubspot.com" TargetMode="External"/><Relationship Id="rId1029" Type="http://schemas.openxmlformats.org/officeDocument/2006/relationships/hyperlink" Target="mailto:fadi_ayoubi@hotmail.com?bcc=6914917@bcc.hubspot.com" TargetMode="External"/><Relationship Id="rId679" Type="http://schemas.openxmlformats.org/officeDocument/2006/relationships/hyperlink" Target="mailto:mayed77@hotmail.com?bcc=6914917@bcc.hubspot.com" TargetMode="External"/><Relationship Id="rId678" Type="http://schemas.openxmlformats.org/officeDocument/2006/relationships/hyperlink" Target="mailto:alwheed_220@hotmail.com?bcc=6914917@bcc.hubspot.com" TargetMode="External"/><Relationship Id="rId677" Type="http://schemas.openxmlformats.org/officeDocument/2006/relationships/hyperlink" Target="mailto:maitha.almheiri85@gmail.com?bcc=6914917@bcc.hubspot.com" TargetMode="External"/><Relationship Id="rId676" Type="http://schemas.openxmlformats.org/officeDocument/2006/relationships/hyperlink" Target="mailto:fire9997@hotmil.com?bcc=6914917@bcc.hubspot.com" TargetMode="External"/><Relationship Id="rId671" Type="http://schemas.openxmlformats.org/officeDocument/2006/relationships/hyperlink" Target="mailto:skamran75@gmail.com?bcc=6914917@bcc.hubspot.com" TargetMode="External"/><Relationship Id="rId670" Type="http://schemas.openxmlformats.org/officeDocument/2006/relationships/hyperlink" Target="mailto:m.s.6497790@gmail.com?bcc=6914917@bcc.hubspot.com" TargetMode="External"/><Relationship Id="rId1020" Type="http://schemas.openxmlformats.org/officeDocument/2006/relationships/hyperlink" Target="mailto:aliahmad98@hotmail.com?bcc=6914917@bcc.hubspot.com" TargetMode="External"/><Relationship Id="rId1021" Type="http://schemas.openxmlformats.org/officeDocument/2006/relationships/hyperlink" Target="mailto:oshary1975camlin@gmail.com?bcc=6914917@bcc.hubspot.com" TargetMode="External"/><Relationship Id="rId675" Type="http://schemas.openxmlformats.org/officeDocument/2006/relationships/hyperlink" Target="mailto:ado0ollberry@hotmail.com?bcc=6914917@bcc.hubspot.com" TargetMode="External"/><Relationship Id="rId1022" Type="http://schemas.openxmlformats.org/officeDocument/2006/relationships/hyperlink" Target="mailto:so_atractive.4ever@hotmail.com?bcc=6914917@bcc.hubspot.com" TargetMode="External"/><Relationship Id="rId674" Type="http://schemas.openxmlformats.org/officeDocument/2006/relationships/hyperlink" Target="mailto:odaher@gmail.com?bcc=6914917@bcc.hubspot.com" TargetMode="External"/><Relationship Id="rId1023" Type="http://schemas.openxmlformats.org/officeDocument/2006/relationships/hyperlink" Target="mailto:ihabkmoawad@yahoo.com?bcc=6914917@bcc.hubspot.com" TargetMode="External"/><Relationship Id="rId673" Type="http://schemas.openxmlformats.org/officeDocument/2006/relationships/hyperlink" Target="mailto:vedamnataraj@yahoo.com?bcc=6914917@bcc.hubspot.com" TargetMode="External"/><Relationship Id="rId1024" Type="http://schemas.openxmlformats.org/officeDocument/2006/relationships/hyperlink" Target="mailto:mohammad_sadiq1981@yahoo.com?bcc=6914917@bcc.hubspot.com" TargetMode="External"/><Relationship Id="rId672" Type="http://schemas.openxmlformats.org/officeDocument/2006/relationships/hyperlink" Target="mailto:jeetenderlala@gmail.com?bcc=6914917@bcc.hubspot.com" TargetMode="External"/><Relationship Id="rId1025" Type="http://schemas.openxmlformats.org/officeDocument/2006/relationships/hyperlink" Target="mailto:bahajhamdbahaj@gmail.com?bcc=6914917@bcc.hubspot.com" TargetMode="External"/><Relationship Id="rId190" Type="http://schemas.openxmlformats.org/officeDocument/2006/relationships/hyperlink" Target="mailto:n21122@hotmail.com?bcc=6914917@bcc.hubspot.com" TargetMode="External"/><Relationship Id="rId194" Type="http://schemas.openxmlformats.org/officeDocument/2006/relationships/hyperlink" Target="mailto:oho865@hotmail.com?bcc=6914917@bcc.hubspot.com" TargetMode="External"/><Relationship Id="rId193" Type="http://schemas.openxmlformats.org/officeDocument/2006/relationships/hyperlink" Target="mailto:d3d3_90@hotmail.com?bcc=6914917@bcc.hubspot.com" TargetMode="External"/><Relationship Id="rId192" Type="http://schemas.openxmlformats.org/officeDocument/2006/relationships/hyperlink" Target="mailto:advicer009@gmail.com?bcc=6914917@bcc.hubspot.com" TargetMode="External"/><Relationship Id="rId191" Type="http://schemas.openxmlformats.org/officeDocument/2006/relationships/hyperlink" Target="mailto:tariq302@hotmail.com?bcc=6914917@bcc.hubspot.com" TargetMode="External"/><Relationship Id="rId187" Type="http://schemas.openxmlformats.org/officeDocument/2006/relationships/hyperlink" Target="mailto:shariqriaz@yahoo.com?bcc=6914917@bcc.hubspot.com" TargetMode="External"/><Relationship Id="rId186" Type="http://schemas.openxmlformats.org/officeDocument/2006/relationships/hyperlink" Target="mailto:elsyra@gmail.com?bcc=6914917@bcc.hubspot.com" TargetMode="External"/><Relationship Id="rId185" Type="http://schemas.openxmlformats.org/officeDocument/2006/relationships/hyperlink" Target="mailto:olah68@yahoo.com?bcc=6914917@bcc.hubspot.com" TargetMode="External"/><Relationship Id="rId184" Type="http://schemas.openxmlformats.org/officeDocument/2006/relationships/hyperlink" Target="mailto:aaharian@gmail.com?bcc=6914917@bcc.hubspot.com" TargetMode="External"/><Relationship Id="rId189" Type="http://schemas.openxmlformats.org/officeDocument/2006/relationships/hyperlink" Target="mailto:hakalamood@gmail.com?bcc=6914917@bcc.hubspot.com" TargetMode="External"/><Relationship Id="rId188" Type="http://schemas.openxmlformats.org/officeDocument/2006/relationships/hyperlink" Target="mailto:awais_99@hotmail.com?bcc=6914917@bcc.hubspot.com" TargetMode="External"/><Relationship Id="rId183" Type="http://schemas.openxmlformats.org/officeDocument/2006/relationships/hyperlink" Target="mailto:sales.manager@rakmix.com?bcc=6914917@bcc.hubspot.com" TargetMode="External"/><Relationship Id="rId182" Type="http://schemas.openxmlformats.org/officeDocument/2006/relationships/hyperlink" Target="mailto:bokshiking@yahoo.com?bcc=6914917@bcc.hubspot.com" TargetMode="External"/><Relationship Id="rId181" Type="http://schemas.openxmlformats.org/officeDocument/2006/relationships/hyperlink" Target="mailto:Kitbiel@gmail.com?bcc=6914917@bcc.hubspot.com" TargetMode="External"/><Relationship Id="rId180" Type="http://schemas.openxmlformats.org/officeDocument/2006/relationships/hyperlink" Target="mailto:adamelliott45@gmail.com?bcc=6914917@bcc.hubspot.com" TargetMode="External"/><Relationship Id="rId176" Type="http://schemas.openxmlformats.org/officeDocument/2006/relationships/hyperlink" Target="mailto:nkoffice@gmail.com?bcc=6914917@bcc.hubspot.com" TargetMode="External"/><Relationship Id="rId175" Type="http://schemas.openxmlformats.org/officeDocument/2006/relationships/hyperlink" Target="mailto:meryamelebiad@gmail.com?bcc=6914917@bcc.hubspot.com" TargetMode="External"/><Relationship Id="rId174" Type="http://schemas.openxmlformats.org/officeDocument/2006/relationships/hyperlink" Target="mailto:lefteris.kyriacou@gmail.com?bcc=6914917@bcc.hubspot.com" TargetMode="External"/><Relationship Id="rId173" Type="http://schemas.openxmlformats.org/officeDocument/2006/relationships/hyperlink" Target="mailto:krishraik@yahoo.com?bcc=6914917@bcc.hubspot.com" TargetMode="External"/><Relationship Id="rId179" Type="http://schemas.openxmlformats.org/officeDocument/2006/relationships/hyperlink" Target="mailto:asifracing@hotmail.com?bcc=6914917@bcc.hubspot.com" TargetMode="External"/><Relationship Id="rId178" Type="http://schemas.openxmlformats.org/officeDocument/2006/relationships/hyperlink" Target="mailto:rajaa.atlab@yahoo.com?bcc=6914917@bcc.hubspot.com" TargetMode="External"/><Relationship Id="rId177" Type="http://schemas.openxmlformats.org/officeDocument/2006/relationships/hyperlink" Target="mailto:asdv343@gmail.com?bcc=6914917@bcc.hubspot.com" TargetMode="External"/><Relationship Id="rId198" Type="http://schemas.openxmlformats.org/officeDocument/2006/relationships/hyperlink" Target="mailto:mona.alwaheebi@gmail.com?bcc=6914917@bcc.hubspot.com" TargetMode="External"/><Relationship Id="rId197" Type="http://schemas.openxmlformats.org/officeDocument/2006/relationships/hyperlink" Target="mailto:n.a.magdy@hotmail.com?bcc=6914917@bcc.hubspot.com" TargetMode="External"/><Relationship Id="rId196" Type="http://schemas.openxmlformats.org/officeDocument/2006/relationships/hyperlink" Target="mailto:zuny.tauseef@gmail.com?bcc=6914917@bcc.hubspot.com" TargetMode="External"/><Relationship Id="rId195" Type="http://schemas.openxmlformats.org/officeDocument/2006/relationships/hyperlink" Target="mailto:manish3281@gmail.com?bcc=6914917@bcc.hubspot.com" TargetMode="External"/><Relationship Id="rId199" Type="http://schemas.openxmlformats.org/officeDocument/2006/relationships/hyperlink" Target="mailto:fmou13@gmail.com?bcc=6914917@bcc.hubspot.com" TargetMode="External"/><Relationship Id="rId150" Type="http://schemas.openxmlformats.org/officeDocument/2006/relationships/hyperlink" Target="mailto:bassem5787@hotmail.com?bcc=6914917@bcc.hubspot.com" TargetMode="External"/><Relationship Id="rId149" Type="http://schemas.openxmlformats.org/officeDocument/2006/relationships/hyperlink" Target="mailto:h_9993@hotmail.com?bcc=6914917@bcc.hubspot.com" TargetMode="External"/><Relationship Id="rId148" Type="http://schemas.openxmlformats.org/officeDocument/2006/relationships/hyperlink" Target="mailto:Nojood2020safi@hotmail.com?bcc=6914917@bcc.hubspot.com" TargetMode="External"/><Relationship Id="rId1090" Type="http://schemas.openxmlformats.org/officeDocument/2006/relationships/hyperlink" Target="mailto:manalhasson@gmail.com?bcc=6914917@bcc.hubspot.com" TargetMode="External"/><Relationship Id="rId1091" Type="http://schemas.openxmlformats.org/officeDocument/2006/relationships/hyperlink" Target="mailto:1075233bc@gmail.com?bcc=6914917@bcc.hubspot.com" TargetMode="External"/><Relationship Id="rId1092" Type="http://schemas.openxmlformats.org/officeDocument/2006/relationships/hyperlink" Target="mailto:harbroger@hotmail.com?bcc=6914917@bcc.hubspot.com" TargetMode="External"/><Relationship Id="rId1093" Type="http://schemas.openxmlformats.org/officeDocument/2006/relationships/hyperlink" Target="mailto:parag.bhamre@gmail.com?bcc=6914917@bcc.hubspot.com" TargetMode="External"/><Relationship Id="rId1094" Type="http://schemas.openxmlformats.org/officeDocument/2006/relationships/hyperlink" Target="mailto:naderbassit@gmail.com?bcc=6914917@bcc.hubspot.com" TargetMode="External"/><Relationship Id="rId143" Type="http://schemas.openxmlformats.org/officeDocument/2006/relationships/hyperlink" Target="mailto:karuna63gh@hotmail.com?bcc=6914917@bcc.hubspot.com" TargetMode="External"/><Relationship Id="rId1095" Type="http://schemas.openxmlformats.org/officeDocument/2006/relationships/hyperlink" Target="mailto:mfm090@hotmail.com?bcc=6914917@bcc.hubspot.com" TargetMode="External"/><Relationship Id="rId142" Type="http://schemas.openxmlformats.org/officeDocument/2006/relationships/hyperlink" Target="mailto:khaledyassin99@gmail.com?bcc=6914917@bcc.hubspot.com" TargetMode="External"/><Relationship Id="rId1096" Type="http://schemas.openxmlformats.org/officeDocument/2006/relationships/hyperlink" Target="mailto:vipinvnath@gmail.com?bcc=6914917@bcc.hubspot.com" TargetMode="External"/><Relationship Id="rId141" Type="http://schemas.openxmlformats.org/officeDocument/2006/relationships/hyperlink" Target="mailto:khalid-amin@live.com?bcc=6914917@bcc.hubspot.com" TargetMode="External"/><Relationship Id="rId1097" Type="http://schemas.openxmlformats.org/officeDocument/2006/relationships/hyperlink" Target="mailto:ysinghchauhan@gmail.com?bcc=6914917@bcc.hubspot.com" TargetMode="External"/><Relationship Id="rId140" Type="http://schemas.openxmlformats.org/officeDocument/2006/relationships/hyperlink" Target="mailto:maary191@hotmail.com?bcc=6914917@bcc.hubspot.com" TargetMode="External"/><Relationship Id="rId1098" Type="http://schemas.openxmlformats.org/officeDocument/2006/relationships/hyperlink" Target="mailto:charles_bnc@hotmail.com?bcc=6914917@bcc.hubspot.com" TargetMode="External"/><Relationship Id="rId147" Type="http://schemas.openxmlformats.org/officeDocument/2006/relationships/hyperlink" Target="mailto:Naheedalameri8@gmail.com?bcc=6914917@bcc.hubspot.com" TargetMode="External"/><Relationship Id="rId1099" Type="http://schemas.openxmlformats.org/officeDocument/2006/relationships/hyperlink" Target="mailto:rashadalketany1969@gmail.com?bcc=6914917@bcc.hubspot.com" TargetMode="External"/><Relationship Id="rId146" Type="http://schemas.openxmlformats.org/officeDocument/2006/relationships/hyperlink" Target="mailto:gamal1981@gmail.com?bcc=6914917@bcc.hubspot.com" TargetMode="External"/><Relationship Id="rId145" Type="http://schemas.openxmlformats.org/officeDocument/2006/relationships/hyperlink" Target="mailto:asar.mohamad@yahoo.com?bcc=6914917@bcc.hubspot.com" TargetMode="External"/><Relationship Id="rId144" Type="http://schemas.openxmlformats.org/officeDocument/2006/relationships/hyperlink" Target="mailto:87alhameli@gmail.com?bcc=6914917@bcc.hubspot.com" TargetMode="External"/><Relationship Id="rId139" Type="http://schemas.openxmlformats.org/officeDocument/2006/relationships/hyperlink" Target="mailto:adsalmousa@hotmail.com?bcc=6914917@bcc.hubspot.com" TargetMode="External"/><Relationship Id="rId138" Type="http://schemas.openxmlformats.org/officeDocument/2006/relationships/hyperlink" Target="mailto:eng_tareq@yahoo.com?bcc=6914917@bcc.hubspot.com" TargetMode="External"/><Relationship Id="rId137" Type="http://schemas.openxmlformats.org/officeDocument/2006/relationships/hyperlink" Target="mailto:rabaef@gmail.com?bcc=6914917@bcc.hubspot.com" TargetMode="External"/><Relationship Id="rId1080" Type="http://schemas.openxmlformats.org/officeDocument/2006/relationships/hyperlink" Target="mailto:slsfayz@gmail.com?bcc=6914917@bcc.hubspot.com" TargetMode="External"/><Relationship Id="rId1081" Type="http://schemas.openxmlformats.org/officeDocument/2006/relationships/hyperlink" Target="mailto:fatheyaz76@gmail.com?bcc=6914917@bcc.hubspot.com" TargetMode="External"/><Relationship Id="rId1082" Type="http://schemas.openxmlformats.org/officeDocument/2006/relationships/hyperlink" Target="mailto:alsuwaidi654@gmail.com?bcc=6914917@bcc.hubspot.com" TargetMode="External"/><Relationship Id="rId1083" Type="http://schemas.openxmlformats.org/officeDocument/2006/relationships/hyperlink" Target="mailto:alaa.azhary@hotmail.com?bcc=6914917@bcc.hubspot.com" TargetMode="External"/><Relationship Id="rId132" Type="http://schemas.openxmlformats.org/officeDocument/2006/relationships/hyperlink" Target="mailto:gnhk@gmail.com?bcc=6914917@bcc.hubspot.com" TargetMode="External"/><Relationship Id="rId1084" Type="http://schemas.openxmlformats.org/officeDocument/2006/relationships/hyperlink" Target="mailto:bumobark99@hotmail.com?bcc=6914917@bcc.hubspot.com" TargetMode="External"/><Relationship Id="rId131" Type="http://schemas.openxmlformats.org/officeDocument/2006/relationships/hyperlink" Target="mailto:rupali.chopra1018@gmail.com?bcc=6914917@bcc.hubspot.com" TargetMode="External"/><Relationship Id="rId1085" Type="http://schemas.openxmlformats.org/officeDocument/2006/relationships/hyperlink" Target="mailto:b.khaleje@gmail.com?bcc=6914917@bcc.hubspot.com" TargetMode="External"/><Relationship Id="rId130" Type="http://schemas.openxmlformats.org/officeDocument/2006/relationships/hyperlink" Target="mailto:ialj2010@gmail.com?bcc=6914917@bcc.hubspot.com" TargetMode="External"/><Relationship Id="rId1086" Type="http://schemas.openxmlformats.org/officeDocument/2006/relationships/hyperlink" Target="mailto:vaibhavmalhotra211@gmail.com?bcc=6914917@bcc.hubspot.com" TargetMode="External"/><Relationship Id="rId1087" Type="http://schemas.openxmlformats.org/officeDocument/2006/relationships/hyperlink" Target="mailto:omar.benaissa1990@gmail.com?bcc=6914917@bcc.hubspot.com" TargetMode="External"/><Relationship Id="rId136" Type="http://schemas.openxmlformats.org/officeDocument/2006/relationships/hyperlink" Target="mailto:aneesmajeed33@gmail.com?bcc=6914917@bcc.hubspot.com" TargetMode="External"/><Relationship Id="rId1088" Type="http://schemas.openxmlformats.org/officeDocument/2006/relationships/hyperlink" Target="mailto:sweetgrapes20012002@hotmail.com?bcc=6914917@bcc.hubspot.com" TargetMode="External"/><Relationship Id="rId135" Type="http://schemas.openxmlformats.org/officeDocument/2006/relationships/hyperlink" Target="mailto:afif.murad@hotmail.com?bcc=6914917@bcc.hubspot.com" TargetMode="External"/><Relationship Id="rId1089" Type="http://schemas.openxmlformats.org/officeDocument/2006/relationships/hyperlink" Target="mailto:aldahoud@yahoo.com?bcc=6914917@bcc.hubspot.com" TargetMode="External"/><Relationship Id="rId134" Type="http://schemas.openxmlformats.org/officeDocument/2006/relationships/hyperlink" Target="mailto:emad_masadeh@hotmail.com?bcc=6914917@bcc.hubspot.com" TargetMode="External"/><Relationship Id="rId133" Type="http://schemas.openxmlformats.org/officeDocument/2006/relationships/hyperlink" Target="mailto:sharminas007@gmail.com?bcc=6914917@bcc.hubspot.com" TargetMode="External"/><Relationship Id="rId172" Type="http://schemas.openxmlformats.org/officeDocument/2006/relationships/hyperlink" Target="mailto:funnyleung6000@gmail.com?bcc=6914917@bcc.hubspot.com" TargetMode="External"/><Relationship Id="rId171" Type="http://schemas.openxmlformats.org/officeDocument/2006/relationships/hyperlink" Target="mailto:hassansalman32@gmail.com?bcc=6914917@bcc.hubspot.com" TargetMode="External"/><Relationship Id="rId170" Type="http://schemas.openxmlformats.org/officeDocument/2006/relationships/hyperlink" Target="mailto:abahkali1@gmail.com?bcc=6914917@bcc.hubspot.com" TargetMode="External"/><Relationship Id="rId165" Type="http://schemas.openxmlformats.org/officeDocument/2006/relationships/hyperlink" Target="mailto:Mohammedabdelsalam83@yahoo.com?bcc=6914917@bcc.hubspot.com" TargetMode="External"/><Relationship Id="rId164" Type="http://schemas.openxmlformats.org/officeDocument/2006/relationships/hyperlink" Target="mailto:besooooo223@gmaiI.com?bcc=6914917@bcc.hubspot.com" TargetMode="External"/><Relationship Id="rId163" Type="http://schemas.openxmlformats.org/officeDocument/2006/relationships/hyperlink" Target="mailto:saoud160_@hotmail.com?bcc=6914917@bcc.hubspot.com" TargetMode="External"/><Relationship Id="rId162" Type="http://schemas.openxmlformats.org/officeDocument/2006/relationships/hyperlink" Target="mailto:abdulaa123@hotmail.com?bcc=6914917@bcc.hubspot.com" TargetMode="External"/><Relationship Id="rId169" Type="http://schemas.openxmlformats.org/officeDocument/2006/relationships/hyperlink" Target="mailto:maher_alsager@hotmail.com?bcc=6914917@bcc.hubspot.com" TargetMode="External"/><Relationship Id="rId168" Type="http://schemas.openxmlformats.org/officeDocument/2006/relationships/hyperlink" Target="mailto:rabia.s.shaikh@gmail.com?bcc=6914917@bcc.hubspot.com" TargetMode="External"/><Relationship Id="rId167" Type="http://schemas.openxmlformats.org/officeDocument/2006/relationships/hyperlink" Target="mailto:bisso.1986d@giml.com?bcc=6914917@bcc.hubspot.com" TargetMode="External"/><Relationship Id="rId166" Type="http://schemas.openxmlformats.org/officeDocument/2006/relationships/hyperlink" Target="mailto:ffsaid@gmail.com?bcc=6914917@bcc.hubspot.com" TargetMode="External"/><Relationship Id="rId161" Type="http://schemas.openxmlformats.org/officeDocument/2006/relationships/hyperlink" Target="mailto:hanioraiqat2016@gmail.com?bcc=6914917@bcc.hubspot.com" TargetMode="External"/><Relationship Id="rId160" Type="http://schemas.openxmlformats.org/officeDocument/2006/relationships/hyperlink" Target="mailto:mansourfani1988@gmail.com?bcc=6914917@bcc.hubspot.com" TargetMode="External"/><Relationship Id="rId159" Type="http://schemas.openxmlformats.org/officeDocument/2006/relationships/hyperlink" Target="mailto:luaysaeed89@hotmail.com?bcc=6914917@bcc.hubspot.com" TargetMode="External"/><Relationship Id="rId154" Type="http://schemas.openxmlformats.org/officeDocument/2006/relationships/hyperlink" Target="mailto:stephane_lucas44@outlook.fr?bcc=6914917@bcc.hubspot.com" TargetMode="External"/><Relationship Id="rId153" Type="http://schemas.openxmlformats.org/officeDocument/2006/relationships/hyperlink" Target="mailto:hhalali@eim.ae?bcc=6914917@bcc.hubspot.com" TargetMode="External"/><Relationship Id="rId152" Type="http://schemas.openxmlformats.org/officeDocument/2006/relationships/hyperlink" Target="mailto:nightsss2004@yahoo.com?bcc=6914917@bcc.hubspot.com" TargetMode="External"/><Relationship Id="rId151" Type="http://schemas.openxmlformats.org/officeDocument/2006/relationships/hyperlink" Target="mailto:Mohamedhelmyomran@gmail.com?bcc=6914917@bcc.hubspot.com" TargetMode="External"/><Relationship Id="rId158" Type="http://schemas.openxmlformats.org/officeDocument/2006/relationships/hyperlink" Target="mailto:pmuregi79@gmail.com?bcc=6914917@bcc.hubspot.com" TargetMode="External"/><Relationship Id="rId157" Type="http://schemas.openxmlformats.org/officeDocument/2006/relationships/hyperlink" Target="mailto:lilythuvn.com@gmail.com?bcc=6914917@bcc.hubspot.com" TargetMode="External"/><Relationship Id="rId156" Type="http://schemas.openxmlformats.org/officeDocument/2006/relationships/hyperlink" Target="mailto:harjasi12@gmail.com?bcc=6914917@bcc.hubspot.com" TargetMode="External"/><Relationship Id="rId155" Type="http://schemas.openxmlformats.org/officeDocument/2006/relationships/hyperlink" Target="mailto:hturki79@yahoo.com?bcc=6914917@bcc.hubspot.com" TargetMode="External"/><Relationship Id="rId1510" Type="http://schemas.openxmlformats.org/officeDocument/2006/relationships/hyperlink" Target="mailto:khurmy@hotmail.com?bcc=6914917@bcc.hubspot.com" TargetMode="External"/><Relationship Id="rId1511" Type="http://schemas.openxmlformats.org/officeDocument/2006/relationships/hyperlink" Target="mailto:md.shahbaz1989@gmail.com?bcc=6914917@bcc.hubspot.com" TargetMode="External"/><Relationship Id="rId1512" Type="http://schemas.openxmlformats.org/officeDocument/2006/relationships/hyperlink" Target="mailto:Kashijeedi@gmail.com?bcc=6914917@bcc.hubspot.com" TargetMode="External"/><Relationship Id="rId1513" Type="http://schemas.openxmlformats.org/officeDocument/2006/relationships/hyperlink" Target="mailto:Brecknockjames1@gmail.com?bcc=6914917@bcc.hubspot.com" TargetMode="External"/><Relationship Id="rId1514" Type="http://schemas.openxmlformats.org/officeDocument/2006/relationships/hyperlink" Target="mailto:kamashtic@hotmail.com?bcc=6914917@bcc.hubspot.com" TargetMode="External"/><Relationship Id="rId1515" Type="http://schemas.openxmlformats.org/officeDocument/2006/relationships/hyperlink" Target="mailto:Mohd05295@gmail.com?bcc=6914917@bcc.hubspot.com" TargetMode="External"/><Relationship Id="rId1516" Type="http://schemas.openxmlformats.org/officeDocument/2006/relationships/hyperlink" Target="mailto:leoalain8888@yahoo.com?bcc=6914917@bcc.hubspot.com" TargetMode="External"/><Relationship Id="rId1517" Type="http://schemas.openxmlformats.org/officeDocument/2006/relationships/hyperlink" Target="mailto:doris.5izmerenie@gmail.com?bcc=6914917@bcc.hubspot.com" TargetMode="External"/><Relationship Id="rId1518" Type="http://schemas.openxmlformats.org/officeDocument/2006/relationships/hyperlink" Target="mailto:tariq.hanan@gmail.com?bcc=6914917@bcc.hubspot.com" TargetMode="External"/><Relationship Id="rId1519" Type="http://schemas.openxmlformats.org/officeDocument/2006/relationships/hyperlink" Target="mailto:ahmed@tex-bridge.com?bcc=6914917@bcc.hubspot.com" TargetMode="External"/><Relationship Id="rId1500" Type="http://schemas.openxmlformats.org/officeDocument/2006/relationships/hyperlink" Target="mailto:gaz_karim@hotmail.com?bcc=6914917@bcc.hubspot.com" TargetMode="External"/><Relationship Id="rId1501" Type="http://schemas.openxmlformats.org/officeDocument/2006/relationships/hyperlink" Target="mailto:alper.wtfc@hotmail.co.uk?bcc=6914917@bcc.hubspot.com" TargetMode="External"/><Relationship Id="rId1502" Type="http://schemas.openxmlformats.org/officeDocument/2006/relationships/hyperlink" Target="mailto:Venkat.erpina@gmail.com?bcc=6914917@bcc.hubspot.com" TargetMode="External"/><Relationship Id="rId1503" Type="http://schemas.openxmlformats.org/officeDocument/2006/relationships/hyperlink" Target="mailto:ricardorecco@hotmail.com?bcc=6914917@bcc.hubspot.com" TargetMode="External"/><Relationship Id="rId1504" Type="http://schemas.openxmlformats.org/officeDocument/2006/relationships/hyperlink" Target="mailto:shaancompany@gmail.com?bcc=6914917@bcc.hubspot.com" TargetMode="External"/><Relationship Id="rId1505" Type="http://schemas.openxmlformats.org/officeDocument/2006/relationships/hyperlink" Target="mailto:asaddarali1@hotmail.com?bcc=6914917@bcc.hubspot.com" TargetMode="External"/><Relationship Id="rId1506" Type="http://schemas.openxmlformats.org/officeDocument/2006/relationships/hyperlink" Target="mailto:abuasbeh_t@yahoo.com?bcc=6914917@bcc.hubspot.com" TargetMode="External"/><Relationship Id="rId1507" Type="http://schemas.openxmlformats.org/officeDocument/2006/relationships/hyperlink" Target="mailto:Nadhiray@hotmail.com?bcc=6914917@bcc.hubspot.com" TargetMode="External"/><Relationship Id="rId1508" Type="http://schemas.openxmlformats.org/officeDocument/2006/relationships/hyperlink" Target="mailto:elewa.ali@gmail.com?bcc=6914917@bcc.hubspot.com" TargetMode="External"/><Relationship Id="rId1509" Type="http://schemas.openxmlformats.org/officeDocument/2006/relationships/hyperlink" Target="mailto:Skfoodandwine@gmail.com?bcc=6914917@bcc.hubspot.com" TargetMode="External"/><Relationship Id="rId1576" Type="http://schemas.openxmlformats.org/officeDocument/2006/relationships/hyperlink" Target="mailto:mahboobalialam@gmail.com?bcc=6914917@bcc.hubspot.com" TargetMode="External"/><Relationship Id="rId1577" Type="http://schemas.openxmlformats.org/officeDocument/2006/relationships/hyperlink" Target="mailto:fiselptb@gmail.com?bcc=6914917@bcc.hubspot.com" TargetMode="External"/><Relationship Id="rId1578" Type="http://schemas.openxmlformats.org/officeDocument/2006/relationships/hyperlink" Target="mailto:silviya_dsouza@yahoo.co.in?bcc=6914917@bcc.hubspot.com" TargetMode="External"/><Relationship Id="rId1579" Type="http://schemas.openxmlformats.org/officeDocument/2006/relationships/hyperlink" Target="mailto:akhtar_md_sheikh@yahoo.com?bcc=6914917@bcc.hubspot.com" TargetMode="External"/><Relationship Id="rId509" Type="http://schemas.openxmlformats.org/officeDocument/2006/relationships/hyperlink" Target="mailto:Jamalzal18820@gmail.com?bcc=6914917@bcc.hubspot.com" TargetMode="External"/><Relationship Id="rId508" Type="http://schemas.openxmlformats.org/officeDocument/2006/relationships/hyperlink" Target="mailto:tamer@outofzbox.com?bcc=6914917@bcc.hubspot.com" TargetMode="External"/><Relationship Id="rId503" Type="http://schemas.openxmlformats.org/officeDocument/2006/relationships/hyperlink" Target="mailto:mfahmi73@hotmail.com?bcc=6914917@bcc.hubspot.com" TargetMode="External"/><Relationship Id="rId987" Type="http://schemas.openxmlformats.org/officeDocument/2006/relationships/hyperlink" Target="mailto:edyta.sieczkowska@vp.pl?bcc=6914917@bcc.hubspot.com" TargetMode="External"/><Relationship Id="rId502" Type="http://schemas.openxmlformats.org/officeDocument/2006/relationships/hyperlink" Target="mailto:mohdpvt@gmail.com?bcc=6914917@bcc.hubspot.com" TargetMode="External"/><Relationship Id="rId986" Type="http://schemas.openxmlformats.org/officeDocument/2006/relationships/hyperlink" Target="mailto:eusebio.pedro@gmail.com?bcc=6914917@bcc.hubspot.com" TargetMode="External"/><Relationship Id="rId501" Type="http://schemas.openxmlformats.org/officeDocument/2006/relationships/hyperlink" Target="mailto:punnappilly@yahoo.com?bcc=6914917@bcc.hubspot.com" TargetMode="External"/><Relationship Id="rId985" Type="http://schemas.openxmlformats.org/officeDocument/2006/relationships/hyperlink" Target="mailto:mphanlin88@yahoo.com?bcc=6914917@bcc.hubspot.com" TargetMode="External"/><Relationship Id="rId500" Type="http://schemas.openxmlformats.org/officeDocument/2006/relationships/hyperlink" Target="mailto:matthiasgrohe@yahoo.de?bcc=6914917@bcc.hubspot.com" TargetMode="External"/><Relationship Id="rId984" Type="http://schemas.openxmlformats.org/officeDocument/2006/relationships/hyperlink" Target="mailto:amitarora1978@gmail.com?bcc=6914917@bcc.hubspot.com" TargetMode="External"/><Relationship Id="rId507" Type="http://schemas.openxmlformats.org/officeDocument/2006/relationships/hyperlink" Target="mailto:jashim_u65@yahoo.com?bcc=6914917@bcc.hubspot.com" TargetMode="External"/><Relationship Id="rId506" Type="http://schemas.openxmlformats.org/officeDocument/2006/relationships/hyperlink" Target="mailto:rishi_sehgal@hotmail.com?bcc=6914917@bcc.hubspot.com" TargetMode="External"/><Relationship Id="rId505" Type="http://schemas.openxmlformats.org/officeDocument/2006/relationships/hyperlink" Target="mailto:mohamednazier@gmail.com?bcc=6914917@bcc.hubspot.com" TargetMode="External"/><Relationship Id="rId989" Type="http://schemas.openxmlformats.org/officeDocument/2006/relationships/hyperlink" Target="mailto:navingurdasani@gmail.com?bcc=6914917@bcc.hubspot.com" TargetMode="External"/><Relationship Id="rId504" Type="http://schemas.openxmlformats.org/officeDocument/2006/relationships/hyperlink" Target="mailto:prsure@gmail.com?bcc=6914917@bcc.hubspot.com" TargetMode="External"/><Relationship Id="rId988" Type="http://schemas.openxmlformats.org/officeDocument/2006/relationships/hyperlink" Target="mailto:munirasuleyman@gmail.com?bcc=6914917@bcc.hubspot.com" TargetMode="External"/><Relationship Id="rId1570" Type="http://schemas.openxmlformats.org/officeDocument/2006/relationships/hyperlink" Target="mailto:gnevlzcoo@gmail.com?bcc=6914917@bcc.hubspot.com" TargetMode="External"/><Relationship Id="rId1571" Type="http://schemas.openxmlformats.org/officeDocument/2006/relationships/hyperlink" Target="mailto:khalid_kartoos@hotmail.com?bcc=6914917@bcc.hubspot.com" TargetMode="External"/><Relationship Id="rId983" Type="http://schemas.openxmlformats.org/officeDocument/2006/relationships/hyperlink" Target="mailto:bint.naqi@icloud.com?bcc=6914917@bcc.hubspot.com" TargetMode="External"/><Relationship Id="rId1572" Type="http://schemas.openxmlformats.org/officeDocument/2006/relationships/hyperlink" Target="mailto:omran@osma-ag.ch?bcc=6914917@bcc.hubspot.com" TargetMode="External"/><Relationship Id="rId982" Type="http://schemas.openxmlformats.org/officeDocument/2006/relationships/hyperlink" Target="mailto:haldubaish@gmail.com?bcc=6914917@bcc.hubspot.com" TargetMode="External"/><Relationship Id="rId1573" Type="http://schemas.openxmlformats.org/officeDocument/2006/relationships/hyperlink" Target="mailto:nasrullah001@yahoo.com?bcc=6914917@bcc.hubspot.com" TargetMode="External"/><Relationship Id="rId981" Type="http://schemas.openxmlformats.org/officeDocument/2006/relationships/hyperlink" Target="mailto:urfi_mas@hotmail.com?bcc=6914917@bcc.hubspot.com" TargetMode="External"/><Relationship Id="rId1574" Type="http://schemas.openxmlformats.org/officeDocument/2006/relationships/hyperlink" Target="mailto:alsoomro1508@gmail.com?bcc=6914917@bcc.hubspot.com" TargetMode="External"/><Relationship Id="rId980" Type="http://schemas.openxmlformats.org/officeDocument/2006/relationships/hyperlink" Target="mailto:ayman.rayess@gmail.com?bcc=6914917@bcc.hubspot.com" TargetMode="External"/><Relationship Id="rId1575" Type="http://schemas.openxmlformats.org/officeDocument/2006/relationships/hyperlink" Target="mailto:ahmed.dubai2009@hotmail.com?bcc=6914917@bcc.hubspot.com" TargetMode="External"/><Relationship Id="rId1565" Type="http://schemas.openxmlformats.org/officeDocument/2006/relationships/hyperlink" Target="mailto:hammadenterprises@hotmail.com?bcc=6914917@bcc.hubspot.com" TargetMode="External"/><Relationship Id="rId1566" Type="http://schemas.openxmlformats.org/officeDocument/2006/relationships/hyperlink" Target="mailto:nour.s.abushami@hotmail.com?bcc=6914917@bcc.hubspot.com" TargetMode="External"/><Relationship Id="rId1567" Type="http://schemas.openxmlformats.org/officeDocument/2006/relationships/hyperlink" Target="mailto:Net2000@eim.ae?bcc=6914917@bcc.hubspot.com" TargetMode="External"/><Relationship Id="rId1568" Type="http://schemas.openxmlformats.org/officeDocument/2006/relationships/hyperlink" Target="mailto:ashfaqasd@hotmail.com?bcc=6914917@bcc.hubspot.com" TargetMode="External"/><Relationship Id="rId1569" Type="http://schemas.openxmlformats.org/officeDocument/2006/relationships/hyperlink" Target="mailto:nuwan222wicks@yahoo.com?bcc=6914917@bcc.hubspot.com" TargetMode="External"/><Relationship Id="rId976" Type="http://schemas.openxmlformats.org/officeDocument/2006/relationships/hyperlink" Target="mailto:sshr9156@gmail.com?bcc=6914917@bcc.hubspot.com" TargetMode="External"/><Relationship Id="rId975" Type="http://schemas.openxmlformats.org/officeDocument/2006/relationships/hyperlink" Target="mailto:juttzubairjutt411@gmail.com?bcc=6914917@bcc.hubspot.com" TargetMode="External"/><Relationship Id="rId974" Type="http://schemas.openxmlformats.org/officeDocument/2006/relationships/hyperlink" Target="mailto:niyomi.angel1997@gmail.com?bcc=6914917@bcc.hubspot.com" TargetMode="External"/><Relationship Id="rId973" Type="http://schemas.openxmlformats.org/officeDocument/2006/relationships/hyperlink" Target="mailto:biz.marhabagroup@gmail.com?bcc=6914917@bcc.hubspot.com" TargetMode="External"/><Relationship Id="rId979" Type="http://schemas.openxmlformats.org/officeDocument/2006/relationships/hyperlink" Target="mailto:mohammadasimal.wbq@gmail.com?bcc=6914917@bcc.hubspot.com" TargetMode="External"/><Relationship Id="rId978" Type="http://schemas.openxmlformats.org/officeDocument/2006/relationships/hyperlink" Target="mailto:daliaomarleen2007@icloud.com?bcc=6914917@bcc.hubspot.com" TargetMode="External"/><Relationship Id="rId977" Type="http://schemas.openxmlformats.org/officeDocument/2006/relationships/hyperlink" Target="mailto:arby30748@gmail.com?bcc=6914917@bcc.hubspot.com" TargetMode="External"/><Relationship Id="rId1560" Type="http://schemas.openxmlformats.org/officeDocument/2006/relationships/hyperlink" Target="mailto:m.mubarak636@gmail.com?bcc=6914917@bcc.hubspot.com" TargetMode="External"/><Relationship Id="rId972" Type="http://schemas.openxmlformats.org/officeDocument/2006/relationships/hyperlink" Target="mailto:musab.sa78@gmail.com?bcc=6914917@bcc.hubspot.com" TargetMode="External"/><Relationship Id="rId1561" Type="http://schemas.openxmlformats.org/officeDocument/2006/relationships/hyperlink" Target="mailto:rayyanalkhairdxb@gmail.com?bcc=6914917@bcc.hubspot.com" TargetMode="External"/><Relationship Id="rId971" Type="http://schemas.openxmlformats.org/officeDocument/2006/relationships/hyperlink" Target="mailto:omaralhamadi95@gmail.com?bcc=6914917@bcc.hubspot.com" TargetMode="External"/><Relationship Id="rId1562" Type="http://schemas.openxmlformats.org/officeDocument/2006/relationships/hyperlink" Target="mailto:muffinafar@gmail.com?bcc=6914917@bcc.hubspot.com" TargetMode="External"/><Relationship Id="rId970" Type="http://schemas.openxmlformats.org/officeDocument/2006/relationships/hyperlink" Target="mailto:vinothkamals@gmail.com?bcc=6914917@bcc.hubspot.com" TargetMode="External"/><Relationship Id="rId1563" Type="http://schemas.openxmlformats.org/officeDocument/2006/relationships/hyperlink" Target="mailto:matin_19@yahoo.com?bcc=6914917@bcc.hubspot.com" TargetMode="External"/><Relationship Id="rId1564" Type="http://schemas.openxmlformats.org/officeDocument/2006/relationships/hyperlink" Target="mailto:hjhamadani@yahoo.com?bcc=6914917@bcc.hubspot.com" TargetMode="External"/><Relationship Id="rId1114" Type="http://schemas.openxmlformats.org/officeDocument/2006/relationships/hyperlink" Target="mailto:khalid_th91@hotmail.com?bcc=6914917@bcc.hubspot.com" TargetMode="External"/><Relationship Id="rId1115" Type="http://schemas.openxmlformats.org/officeDocument/2006/relationships/hyperlink" Target="mailto:nadeeka.gayathrie@gmail.com?bcc=6914917@bcc.hubspot.com" TargetMode="External"/><Relationship Id="rId1116" Type="http://schemas.openxmlformats.org/officeDocument/2006/relationships/hyperlink" Target="mailto:sylviageorges@outlook.com?bcc=6914917@bcc.hubspot.com" TargetMode="External"/><Relationship Id="rId1117" Type="http://schemas.openxmlformats.org/officeDocument/2006/relationships/hyperlink" Target="mailto:ccfw20@aol.com?bcc=6914917@bcc.hubspot.com" TargetMode="External"/><Relationship Id="rId1118" Type="http://schemas.openxmlformats.org/officeDocument/2006/relationships/hyperlink" Target="mailto:eqramahmadhi@gmail.com?bcc=6914917@bcc.hubspot.com" TargetMode="External"/><Relationship Id="rId1119" Type="http://schemas.openxmlformats.org/officeDocument/2006/relationships/hyperlink" Target="mailto:hala.abukansoul@gmail.com?bcc=6914917@bcc.hubspot.com" TargetMode="External"/><Relationship Id="rId525" Type="http://schemas.openxmlformats.org/officeDocument/2006/relationships/hyperlink" Target="mailto:mmm2803@hotmail.com?bcc=6914917@bcc.hubspot.com" TargetMode="External"/><Relationship Id="rId524" Type="http://schemas.openxmlformats.org/officeDocument/2006/relationships/hyperlink" Target="mailto:mbusal@hotmail.com?bcc=6914917@bcc.hubspot.com" TargetMode="External"/><Relationship Id="rId523" Type="http://schemas.openxmlformats.org/officeDocument/2006/relationships/hyperlink" Target="mailto:neon769@gmail.com?bcc=6914917@bcc.hubspot.com" TargetMode="External"/><Relationship Id="rId522" Type="http://schemas.openxmlformats.org/officeDocument/2006/relationships/hyperlink" Target="mailto:umair.rehman91@gmail.com?bcc=6914917@bcc.hubspot.com" TargetMode="External"/><Relationship Id="rId529" Type="http://schemas.openxmlformats.org/officeDocument/2006/relationships/hyperlink" Target="mailto:islam.eltantawy@gmail.com?bcc=6914917@bcc.hubspot.com" TargetMode="External"/><Relationship Id="rId528" Type="http://schemas.openxmlformats.org/officeDocument/2006/relationships/hyperlink" Target="mailto:amitlalyan@gmail.com?bcc=6914917@bcc.hubspot.com" TargetMode="External"/><Relationship Id="rId527" Type="http://schemas.openxmlformats.org/officeDocument/2006/relationships/hyperlink" Target="mailto:moha1082moha@gmail.com?bcc=6914917@bcc.hubspot.com" TargetMode="External"/><Relationship Id="rId526" Type="http://schemas.openxmlformats.org/officeDocument/2006/relationships/hyperlink" Target="mailto:mussaibi2341110@hotmail.com?bcc=6914917@bcc.hubspot.com" TargetMode="External"/><Relationship Id="rId1590" Type="http://schemas.openxmlformats.org/officeDocument/2006/relationships/drawing" Target="../drawings/drawing1.xml"/><Relationship Id="rId521" Type="http://schemas.openxmlformats.org/officeDocument/2006/relationships/hyperlink" Target="mailto:krsandeep72@gmail.com?bcc=6914917@bcc.hubspot.com" TargetMode="External"/><Relationship Id="rId1110" Type="http://schemas.openxmlformats.org/officeDocument/2006/relationships/hyperlink" Target="mailto:haboualhawa2017@gmail.com?bcc=6914917@bcc.hubspot.com" TargetMode="External"/><Relationship Id="rId520" Type="http://schemas.openxmlformats.org/officeDocument/2006/relationships/hyperlink" Target="mailto:ssafdar@hotmail.com?bcc=6914917@bcc.hubspot.com" TargetMode="External"/><Relationship Id="rId1111" Type="http://schemas.openxmlformats.org/officeDocument/2006/relationships/hyperlink" Target="mailto:rita.labidi@hotmail.fr?bcc=6914917@bcc.hubspot.com" TargetMode="External"/><Relationship Id="rId1112" Type="http://schemas.openxmlformats.org/officeDocument/2006/relationships/hyperlink" Target="mailto:whatnews@rogers.com?bcc=6914917@bcc.hubspot.com" TargetMode="External"/><Relationship Id="rId1113" Type="http://schemas.openxmlformats.org/officeDocument/2006/relationships/hyperlink" Target="mailto:doctormaryam1985@gmail.com?bcc=6914917@bcc.hubspot.com" TargetMode="External"/><Relationship Id="rId1103" Type="http://schemas.openxmlformats.org/officeDocument/2006/relationships/hyperlink" Target="mailto:almadina.properties@yahoo.com?bcc=6914917@bcc.hubspot.com" TargetMode="External"/><Relationship Id="rId1587" Type="http://schemas.openxmlformats.org/officeDocument/2006/relationships/hyperlink" Target="mailto:perfmon.minu@gmail.com?bcc=6914917@bcc.hubspot.com" TargetMode="External"/><Relationship Id="rId1104" Type="http://schemas.openxmlformats.org/officeDocument/2006/relationships/hyperlink" Target="mailto:parthparikh94@gmail.com?bcc=6914917@bcc.hubspot.com" TargetMode="External"/><Relationship Id="rId1588" Type="http://schemas.openxmlformats.org/officeDocument/2006/relationships/hyperlink" Target="mailto:raheem78677@gmail.com?bcc=6914917@bcc.hubspot.com" TargetMode="External"/><Relationship Id="rId1105" Type="http://schemas.openxmlformats.org/officeDocument/2006/relationships/hyperlink" Target="mailto:talal_akeil@yahoo.com?bcc=6914917@bcc.hubspot.com" TargetMode="External"/><Relationship Id="rId1589" Type="http://schemas.openxmlformats.org/officeDocument/2006/relationships/hyperlink" Target="mailto:gkgallery@gmail.com?bcc=6914917@bcc.hubspot.com" TargetMode="External"/><Relationship Id="rId1106" Type="http://schemas.openxmlformats.org/officeDocument/2006/relationships/hyperlink" Target="mailto:ahmed.hassan@galderma.com?bcc=6914917@bcc.hubspot.com" TargetMode="External"/><Relationship Id="rId1107" Type="http://schemas.openxmlformats.org/officeDocument/2006/relationships/hyperlink" Target="mailto:kamatsho1@yahoo.com?bcc=6914917@bcc.hubspot.com" TargetMode="External"/><Relationship Id="rId1108" Type="http://schemas.openxmlformats.org/officeDocument/2006/relationships/hyperlink" Target="mailto:peterlamcy@gmail.com?bcc=6914917@bcc.hubspot.com" TargetMode="External"/><Relationship Id="rId1109" Type="http://schemas.openxmlformats.org/officeDocument/2006/relationships/hyperlink" Target="mailto:yasir_jann@yahoo.com?bcc=6914917@bcc.hubspot.com" TargetMode="External"/><Relationship Id="rId519" Type="http://schemas.openxmlformats.org/officeDocument/2006/relationships/hyperlink" Target="mailto:himindra07@gmail.com?bcc=6914917@bcc.hubspot.com" TargetMode="External"/><Relationship Id="rId514" Type="http://schemas.openxmlformats.org/officeDocument/2006/relationships/hyperlink" Target="mailto:s.ali.zee05@gmail.com?bcc=6914917@bcc.hubspot.com" TargetMode="External"/><Relationship Id="rId998" Type="http://schemas.openxmlformats.org/officeDocument/2006/relationships/hyperlink" Target="mailto:tsadek@ghalebph.com?bcc=6914917@bcc.hubspot.com" TargetMode="External"/><Relationship Id="rId513" Type="http://schemas.openxmlformats.org/officeDocument/2006/relationships/hyperlink" Target="mailto:ysinghchauhan@gmail.com?bcc=6914917@bcc.hubspot.com" TargetMode="External"/><Relationship Id="rId997" Type="http://schemas.openxmlformats.org/officeDocument/2006/relationships/hyperlink" Target="mailto:visionvoip2014@gmail.com?bcc=6914917@bcc.hubspot.com" TargetMode="External"/><Relationship Id="rId512" Type="http://schemas.openxmlformats.org/officeDocument/2006/relationships/hyperlink" Target="mailto:elgakassebaum@gmail.com?bcc=6914917@bcc.hubspot.com" TargetMode="External"/><Relationship Id="rId996" Type="http://schemas.openxmlformats.org/officeDocument/2006/relationships/hyperlink" Target="mailto:damngirl1@gmail.com?bcc=6914917@bcc.hubspot.com" TargetMode="External"/><Relationship Id="rId511" Type="http://schemas.openxmlformats.org/officeDocument/2006/relationships/hyperlink" Target="mailto:singhluckyiipm@gmail.com?bcc=6914917@bcc.hubspot.com" TargetMode="External"/><Relationship Id="rId995" Type="http://schemas.openxmlformats.org/officeDocument/2006/relationships/hyperlink" Target="mailto:aamz76@hotmail.com?bcc=6914917@bcc.hubspot.com" TargetMode="External"/><Relationship Id="rId518" Type="http://schemas.openxmlformats.org/officeDocument/2006/relationships/hyperlink" Target="mailto:mohdtrwa@gmail.com?bcc=6914917@bcc.hubspot.com" TargetMode="External"/><Relationship Id="rId517" Type="http://schemas.openxmlformats.org/officeDocument/2006/relationships/hyperlink" Target="mailto:s@yahoo.com?bcc=6914917@bcc.hubspot.com" TargetMode="External"/><Relationship Id="rId516" Type="http://schemas.openxmlformats.org/officeDocument/2006/relationships/hyperlink" Target="mailto:kalman.kurucz.hmb@gmail.com?bcc=6914917@bcc.hubspot.com" TargetMode="External"/><Relationship Id="rId515" Type="http://schemas.openxmlformats.org/officeDocument/2006/relationships/hyperlink" Target="mailto:najeeb.feat@gmail.com?bcc=6914917@bcc.hubspot.com" TargetMode="External"/><Relationship Id="rId999" Type="http://schemas.openxmlformats.org/officeDocument/2006/relationships/hyperlink" Target="mailto:mayur@yahoo.com?bcc=6914917@bcc.hubspot.com" TargetMode="External"/><Relationship Id="rId990" Type="http://schemas.openxmlformats.org/officeDocument/2006/relationships/hyperlink" Target="mailto:nilesh@clevertrading.org?bcc=6914917@bcc.hubspot.com" TargetMode="External"/><Relationship Id="rId1580" Type="http://schemas.openxmlformats.org/officeDocument/2006/relationships/hyperlink" Target="mailto:diar.alkhayat@beko-iraq.com?bcc=6914917@bcc.hubspot.com" TargetMode="External"/><Relationship Id="rId1581" Type="http://schemas.openxmlformats.org/officeDocument/2006/relationships/hyperlink" Target="mailto:cliffleetaylor@gmail.com?bcc=6914917@bcc.hubspot.com" TargetMode="External"/><Relationship Id="rId1582" Type="http://schemas.openxmlformats.org/officeDocument/2006/relationships/hyperlink" Target="mailto:fadelh@amtrak.com?bcc=6914917@bcc.hubspot.com" TargetMode="External"/><Relationship Id="rId510" Type="http://schemas.openxmlformats.org/officeDocument/2006/relationships/hyperlink" Target="mailto:dinesh.ramesh@gmail.com?bcc=6914917@bcc.hubspot.com" TargetMode="External"/><Relationship Id="rId994" Type="http://schemas.openxmlformats.org/officeDocument/2006/relationships/hyperlink" Target="mailto:ckamany@hotmail.com?bcc=6914917@bcc.hubspot.com" TargetMode="External"/><Relationship Id="rId1583" Type="http://schemas.openxmlformats.org/officeDocument/2006/relationships/hyperlink" Target="mailto:fmandet@me.com?bcc=6914917@bcc.hubspot.com" TargetMode="External"/><Relationship Id="rId993" Type="http://schemas.openxmlformats.org/officeDocument/2006/relationships/hyperlink" Target="mailto:Amlan.ib@gmail.com?bcc=6914917@bcc.hubspot.com" TargetMode="External"/><Relationship Id="rId1100" Type="http://schemas.openxmlformats.org/officeDocument/2006/relationships/hyperlink" Target="mailto:ngg@emirates.net.ae?bcc=6914917@bcc.hubspot.com" TargetMode="External"/><Relationship Id="rId1584" Type="http://schemas.openxmlformats.org/officeDocument/2006/relationships/hyperlink" Target="mailto:sindujant@hotmail.com?bcc=6914917@bcc.hubspot.com" TargetMode="External"/><Relationship Id="rId992" Type="http://schemas.openxmlformats.org/officeDocument/2006/relationships/hyperlink" Target="mailto:girish@scuae.com?bcc=6914917@bcc.hubspot.com" TargetMode="External"/><Relationship Id="rId1101" Type="http://schemas.openxmlformats.org/officeDocument/2006/relationships/hyperlink" Target="mailto:carloscabrerapalacios@hotmail.com?bcc=6914917@bcc.hubspot.com" TargetMode="External"/><Relationship Id="rId1585" Type="http://schemas.openxmlformats.org/officeDocument/2006/relationships/hyperlink" Target="mailto:mragab_acc@hotmail.com?bcc=6914917@bcc.hubspot.com" TargetMode="External"/><Relationship Id="rId991" Type="http://schemas.openxmlformats.org/officeDocument/2006/relationships/hyperlink" Target="mailto:op.chouhan@gmail.com?bcc=6914917@bcc.hubspot.com" TargetMode="External"/><Relationship Id="rId1102" Type="http://schemas.openxmlformats.org/officeDocument/2006/relationships/hyperlink" Target="mailto:malakmarwan371@gamil.com?bcc=6914917@bcc.hubspot.com" TargetMode="External"/><Relationship Id="rId1586" Type="http://schemas.openxmlformats.org/officeDocument/2006/relationships/hyperlink" Target="mailto:wickfordautocentre@hotmail.co.uk?bcc=6914917@bcc.hubspot.com" TargetMode="External"/><Relationship Id="rId1532" Type="http://schemas.openxmlformats.org/officeDocument/2006/relationships/hyperlink" Target="mailto:Amg@yahoo.com?bcc=6914917@bcc.hubspot.com" TargetMode="External"/><Relationship Id="rId1533" Type="http://schemas.openxmlformats.org/officeDocument/2006/relationships/hyperlink" Target="mailto:rashidv@gmail.com?bcc=6914917@bcc.hubspot.com" TargetMode="External"/><Relationship Id="rId1534" Type="http://schemas.openxmlformats.org/officeDocument/2006/relationships/hyperlink" Target="mailto:ashley.crossteps@gmail.com?bcc=6914917@bcc.hubspot.com" TargetMode="External"/><Relationship Id="rId1535" Type="http://schemas.openxmlformats.org/officeDocument/2006/relationships/hyperlink" Target="mailto:abdullahjanuk1975@gmail.com?bcc=6914917@bcc.hubspot.com" TargetMode="External"/><Relationship Id="rId1536" Type="http://schemas.openxmlformats.org/officeDocument/2006/relationships/hyperlink" Target="mailto:abdallah_khlat@hotmail.com?bcc=6914917@bcc.hubspot.com" TargetMode="External"/><Relationship Id="rId1537" Type="http://schemas.openxmlformats.org/officeDocument/2006/relationships/hyperlink" Target="mailto:harunkhan1@gmail.com?bcc=6914917@bcc.hubspot.com" TargetMode="External"/><Relationship Id="rId1538" Type="http://schemas.openxmlformats.org/officeDocument/2006/relationships/hyperlink" Target="mailto:Aurangzebbg@gmail.com?bcc=6914917@bcc.hubspot.com" TargetMode="External"/><Relationship Id="rId1539" Type="http://schemas.openxmlformats.org/officeDocument/2006/relationships/hyperlink" Target="mailto:nandriani@mcdermott.com?bcc=6914917@bcc.hubspot.com" TargetMode="External"/><Relationship Id="rId949" Type="http://schemas.openxmlformats.org/officeDocument/2006/relationships/hyperlink" Target="mailto:farhankhan45675@gmail.com?bcc=6914917@bcc.hubspot.com" TargetMode="External"/><Relationship Id="rId948" Type="http://schemas.openxmlformats.org/officeDocument/2006/relationships/hyperlink" Target="mailto:jaymene@hotmail.com?bcc=6914917@bcc.hubspot.com" TargetMode="External"/><Relationship Id="rId943" Type="http://schemas.openxmlformats.org/officeDocument/2006/relationships/hyperlink" Target="mailto:tarekafouada@gmail.com?bcc=6914917@bcc.hubspot.com" TargetMode="External"/><Relationship Id="rId942" Type="http://schemas.openxmlformats.org/officeDocument/2006/relationships/hyperlink" Target="mailto:arushi.kataria13@gmail.com?bcc=6914917@bcc.hubspot.com" TargetMode="External"/><Relationship Id="rId941" Type="http://schemas.openxmlformats.org/officeDocument/2006/relationships/hyperlink" Target="mailto:ismail.k087@gmail.com?bcc=6914917@bcc.hubspot.com" TargetMode="External"/><Relationship Id="rId940" Type="http://schemas.openxmlformats.org/officeDocument/2006/relationships/hyperlink" Target="mailto:afra.m13@hotmail.com?bcc=6914917@bcc.hubspot.com" TargetMode="External"/><Relationship Id="rId947" Type="http://schemas.openxmlformats.org/officeDocument/2006/relationships/hyperlink" Target="mailto:elkallini@hotmail.com?bcc=6914917@bcc.hubspot.com" TargetMode="External"/><Relationship Id="rId946" Type="http://schemas.openxmlformats.org/officeDocument/2006/relationships/hyperlink" Target="mailto:taha77uk@hotmail.com?bcc=6914917@bcc.hubspot.com" TargetMode="External"/><Relationship Id="rId945" Type="http://schemas.openxmlformats.org/officeDocument/2006/relationships/hyperlink" Target="mailto:ahmedalsuwaidi@yahoo.com?bcc=6914917@bcc.hubspot.com" TargetMode="External"/><Relationship Id="rId944" Type="http://schemas.openxmlformats.org/officeDocument/2006/relationships/hyperlink" Target="mailto:alshe7i@msn.com?bcc=6914917@bcc.hubspot.com" TargetMode="External"/><Relationship Id="rId1530" Type="http://schemas.openxmlformats.org/officeDocument/2006/relationships/hyperlink" Target="mailto:naseeruddinkamran@gmail.com?bcc=6914917@bcc.hubspot.com" TargetMode="External"/><Relationship Id="rId1531" Type="http://schemas.openxmlformats.org/officeDocument/2006/relationships/hyperlink" Target="mailto:atifosman2000@yahoo.com?bcc=6914917@bcc.hubspot.com" TargetMode="External"/><Relationship Id="rId1521" Type="http://schemas.openxmlformats.org/officeDocument/2006/relationships/hyperlink" Target="mailto:kousarbasha@gmail.com?bcc=6914917@bcc.hubspot.com" TargetMode="External"/><Relationship Id="rId1522" Type="http://schemas.openxmlformats.org/officeDocument/2006/relationships/hyperlink" Target="mailto:hassan.eng2005@hotmail.com?bcc=6914917@bcc.hubspot.com" TargetMode="External"/><Relationship Id="rId1523" Type="http://schemas.openxmlformats.org/officeDocument/2006/relationships/hyperlink" Target="mailto:khansaghir@hotmail.com?bcc=6914917@bcc.hubspot.com" TargetMode="External"/><Relationship Id="rId1524" Type="http://schemas.openxmlformats.org/officeDocument/2006/relationships/hyperlink" Target="mailto:monikanasrinaziz@yahoo.co.uk?bcc=6914917@bcc.hubspot.com" TargetMode="External"/><Relationship Id="rId1525" Type="http://schemas.openxmlformats.org/officeDocument/2006/relationships/hyperlink" Target="mailto:artsharma@hotmail.com?bcc=6914917@bcc.hubspot.com" TargetMode="External"/><Relationship Id="rId1526" Type="http://schemas.openxmlformats.org/officeDocument/2006/relationships/hyperlink" Target="mailto:Dpclengineer@gmail.com?bcc=6914917@bcc.hubspot.com" TargetMode="External"/><Relationship Id="rId1527" Type="http://schemas.openxmlformats.org/officeDocument/2006/relationships/hyperlink" Target="mailto:studioneelabh@gmail.com?bcc=6914917@bcc.hubspot.com" TargetMode="External"/><Relationship Id="rId1528" Type="http://schemas.openxmlformats.org/officeDocument/2006/relationships/hyperlink" Target="mailto:manojbkrishnan@gmail.com?bcc=6914917@bcc.hubspot.com" TargetMode="External"/><Relationship Id="rId1529" Type="http://schemas.openxmlformats.org/officeDocument/2006/relationships/hyperlink" Target="mailto:rowaidaelsaid@gmail.com?bcc=6914917@bcc.hubspot.com" TargetMode="External"/><Relationship Id="rId939" Type="http://schemas.openxmlformats.org/officeDocument/2006/relationships/hyperlink" Target="mailto:melynt.vios@gmail.com?bcc=6914917@bcc.hubspot.com" TargetMode="External"/><Relationship Id="rId938" Type="http://schemas.openxmlformats.org/officeDocument/2006/relationships/hyperlink" Target="mailto:asem.asmar@yahoo.com?bcc=6914917@bcc.hubspot.com" TargetMode="External"/><Relationship Id="rId937" Type="http://schemas.openxmlformats.org/officeDocument/2006/relationships/hyperlink" Target="mailto:salimkasimdxb@gmail.com?bcc=6914917@bcc.hubspot.com" TargetMode="External"/><Relationship Id="rId932" Type="http://schemas.openxmlformats.org/officeDocument/2006/relationships/hyperlink" Target="mailto:maitha.al.mehairi82@gmail.com?bcc=6914917@bcc.hubspot.com" TargetMode="External"/><Relationship Id="rId931" Type="http://schemas.openxmlformats.org/officeDocument/2006/relationships/hyperlink" Target="mailto:ingabush@hotmail.com?bcc=6914917@bcc.hubspot.com" TargetMode="External"/><Relationship Id="rId930" Type="http://schemas.openxmlformats.org/officeDocument/2006/relationships/hyperlink" Target="mailto:rohan.golwalkar123@gmail.com?bcc=6914917@bcc.hubspot.com" TargetMode="External"/><Relationship Id="rId936" Type="http://schemas.openxmlformats.org/officeDocument/2006/relationships/hyperlink" Target="mailto:alfredo@claxitalia.com?bcc=6914917@bcc.hubspot.com" TargetMode="External"/><Relationship Id="rId935" Type="http://schemas.openxmlformats.org/officeDocument/2006/relationships/hyperlink" Target="mailto:jacobsclaes@gmail.com?bcc=6914917@bcc.hubspot.com" TargetMode="External"/><Relationship Id="rId934" Type="http://schemas.openxmlformats.org/officeDocument/2006/relationships/hyperlink" Target="mailto:shammo0oniie@gmail.com?bcc=6914917@bcc.hubspot.com" TargetMode="External"/><Relationship Id="rId933" Type="http://schemas.openxmlformats.org/officeDocument/2006/relationships/hyperlink" Target="mailto:simaydlarry@hotmail.com?bcc=6914917@bcc.hubspot.com" TargetMode="External"/><Relationship Id="rId1520" Type="http://schemas.openxmlformats.org/officeDocument/2006/relationships/hyperlink" Target="mailto:m.daniyal87@gmail.com?bcc=6914917@bcc.hubspot.com" TargetMode="External"/><Relationship Id="rId1554" Type="http://schemas.openxmlformats.org/officeDocument/2006/relationships/hyperlink" Target="mailto:michaentrup@live.com?bcc=6914917@bcc.hubspot.com" TargetMode="External"/><Relationship Id="rId1555" Type="http://schemas.openxmlformats.org/officeDocument/2006/relationships/hyperlink" Target="mailto:rmirchi@gmail.com?bcc=6914917@bcc.hubspot.com" TargetMode="External"/><Relationship Id="rId1556" Type="http://schemas.openxmlformats.org/officeDocument/2006/relationships/hyperlink" Target="mailto:moosani_traders@hotmail.com?bcc=6914917@bcc.hubspot.com" TargetMode="External"/><Relationship Id="rId1557" Type="http://schemas.openxmlformats.org/officeDocument/2006/relationships/hyperlink" Target="mailto:mailyogi20@gmail.com?bcc=6914917@bcc.hubspot.com" TargetMode="External"/><Relationship Id="rId1558" Type="http://schemas.openxmlformats.org/officeDocument/2006/relationships/hyperlink" Target="mailto:Ksreddylic@gmail.com?bcc=6914917@bcc.hubspot.com" TargetMode="External"/><Relationship Id="rId1559" Type="http://schemas.openxmlformats.org/officeDocument/2006/relationships/hyperlink" Target="mailto:hkobrosy@gmail.com?bcc=6914917@bcc.hubspot.com" TargetMode="External"/><Relationship Id="rId965" Type="http://schemas.openxmlformats.org/officeDocument/2006/relationships/hyperlink" Target="mailto:cj.westblom@googlemail.com?bcc=6914917@bcc.hubspot.com" TargetMode="External"/><Relationship Id="rId964" Type="http://schemas.openxmlformats.org/officeDocument/2006/relationships/hyperlink" Target="mailto:chakresh.bhandari@gmail.com?bcc=6914917@bcc.hubspot.com" TargetMode="External"/><Relationship Id="rId963" Type="http://schemas.openxmlformats.org/officeDocument/2006/relationships/hyperlink" Target="mailto:heelh3@gmail.com?bcc=6914917@bcc.hubspot.com" TargetMode="External"/><Relationship Id="rId962" Type="http://schemas.openxmlformats.org/officeDocument/2006/relationships/hyperlink" Target="mailto:ham_riz@hotmail.com?bcc=6914917@bcc.hubspot.com" TargetMode="External"/><Relationship Id="rId969" Type="http://schemas.openxmlformats.org/officeDocument/2006/relationships/hyperlink" Target="mailto:saifsaleh7@aol.com?bcc=6914917@bcc.hubspot.com" TargetMode="External"/><Relationship Id="rId968" Type="http://schemas.openxmlformats.org/officeDocument/2006/relationships/hyperlink" Target="mailto:marianajeeb1@hotmail.com?bcc=6914917@bcc.hubspot.com" TargetMode="External"/><Relationship Id="rId967" Type="http://schemas.openxmlformats.org/officeDocument/2006/relationships/hyperlink" Target="mailto:subhani87@gmail.com?bcc=6914917@bcc.hubspot.com" TargetMode="External"/><Relationship Id="rId966" Type="http://schemas.openxmlformats.org/officeDocument/2006/relationships/hyperlink" Target="mailto:darine-lebenon-@hotmail.com?bcc=6914917@bcc.hubspot.com" TargetMode="External"/><Relationship Id="rId961" Type="http://schemas.openxmlformats.org/officeDocument/2006/relationships/hyperlink" Target="mailto:carbonnegativeelectricity@gmail.com?bcc=6914917@bcc.hubspot.com" TargetMode="External"/><Relationship Id="rId1550" Type="http://schemas.openxmlformats.org/officeDocument/2006/relationships/hyperlink" Target="mailto:Mohamed.saffour@thyssenkrupp.com?bcc=6914917@bcc.hubspot.com" TargetMode="External"/><Relationship Id="rId960" Type="http://schemas.openxmlformats.org/officeDocument/2006/relationships/hyperlink" Target="mailto:acmesg@gmail.com?bcc=6914917@bcc.hubspot.com" TargetMode="External"/><Relationship Id="rId1551" Type="http://schemas.openxmlformats.org/officeDocument/2006/relationships/hyperlink" Target="mailto:mih7758@yahoo.com?bcc=6914917@bcc.hubspot.com" TargetMode="External"/><Relationship Id="rId1552" Type="http://schemas.openxmlformats.org/officeDocument/2006/relationships/hyperlink" Target="mailto:ashrafpetra@yahoo.com?bcc=6914917@bcc.hubspot.com" TargetMode="External"/><Relationship Id="rId1553" Type="http://schemas.openxmlformats.org/officeDocument/2006/relationships/hyperlink" Target="mailto:mounirnaemi@yahoo.co.uk?bcc=6914917@bcc.hubspot.com" TargetMode="External"/><Relationship Id="rId1543" Type="http://schemas.openxmlformats.org/officeDocument/2006/relationships/hyperlink" Target="mailto:shalinikishore561@yahoo.com?bcc=6914917@bcc.hubspot.com" TargetMode="External"/><Relationship Id="rId1544" Type="http://schemas.openxmlformats.org/officeDocument/2006/relationships/hyperlink" Target="mailto:ermiasaz@yahoo.com?bcc=6914917@bcc.hubspot.com" TargetMode="External"/><Relationship Id="rId1545" Type="http://schemas.openxmlformats.org/officeDocument/2006/relationships/hyperlink" Target="mailto:ghufran.radiant@gmail.com?bcc=6914917@bcc.hubspot.com" TargetMode="External"/><Relationship Id="rId1546" Type="http://schemas.openxmlformats.org/officeDocument/2006/relationships/hyperlink" Target="mailto:amar.ds.amar@gmail.com?bcc=6914917@bcc.hubspot.com" TargetMode="External"/><Relationship Id="rId1547" Type="http://schemas.openxmlformats.org/officeDocument/2006/relationships/hyperlink" Target="mailto:eldawi@live.com?bcc=6914917@bcc.hubspot.com" TargetMode="External"/><Relationship Id="rId1548" Type="http://schemas.openxmlformats.org/officeDocument/2006/relationships/hyperlink" Target="mailto:prince.wani@gmail.com?bcc=6914917@bcc.hubspot.com" TargetMode="External"/><Relationship Id="rId1549" Type="http://schemas.openxmlformats.org/officeDocument/2006/relationships/hyperlink" Target="mailto:yogurmy_11@yahoo.com?bcc=6914917@bcc.hubspot.com" TargetMode="External"/><Relationship Id="rId959" Type="http://schemas.openxmlformats.org/officeDocument/2006/relationships/hyperlink" Target="mailto:saleha.uae@outlook.sa?bcc=6914917@bcc.hubspot.com" TargetMode="External"/><Relationship Id="rId954" Type="http://schemas.openxmlformats.org/officeDocument/2006/relationships/hyperlink" Target="mailto:bakoor_ayham@hotmail.com?bcc=6914917@bcc.hubspot.com" TargetMode="External"/><Relationship Id="rId953" Type="http://schemas.openxmlformats.org/officeDocument/2006/relationships/hyperlink" Target="mailto:hoda.heidi@gmail.com?bcc=6914917@bcc.hubspot.com" TargetMode="External"/><Relationship Id="rId952" Type="http://schemas.openxmlformats.org/officeDocument/2006/relationships/hyperlink" Target="mailto:abdullahrajput118@gmail.com?bcc=6914917@bcc.hubspot.com" TargetMode="External"/><Relationship Id="rId951" Type="http://schemas.openxmlformats.org/officeDocument/2006/relationships/hyperlink" Target="mailto:mredasaa@gmail.com?bcc=6914917@bcc.hubspot.com" TargetMode="External"/><Relationship Id="rId958" Type="http://schemas.openxmlformats.org/officeDocument/2006/relationships/hyperlink" Target="mailto:benouatai1960@hotmail.com?bcc=6914917@bcc.hubspot.com" TargetMode="External"/><Relationship Id="rId957" Type="http://schemas.openxmlformats.org/officeDocument/2006/relationships/hyperlink" Target="mailto:iftikhar72khan@gmail.com?bcc=6914917@bcc.hubspot.com" TargetMode="External"/><Relationship Id="rId956" Type="http://schemas.openxmlformats.org/officeDocument/2006/relationships/hyperlink" Target="mailto:fadyghassan22@gmail.com?bcc=6914917@bcc.hubspot.com" TargetMode="External"/><Relationship Id="rId955" Type="http://schemas.openxmlformats.org/officeDocument/2006/relationships/hyperlink" Target="mailto:bofatoom93@gmail.com?bcc=6914917@bcc.hubspot.com" TargetMode="External"/><Relationship Id="rId950" Type="http://schemas.openxmlformats.org/officeDocument/2006/relationships/hyperlink" Target="mailto:luda.gurbfnova73@gmail.com?bcc=6914917@bcc.hubspot.com" TargetMode="External"/><Relationship Id="rId1540" Type="http://schemas.openxmlformats.org/officeDocument/2006/relationships/hyperlink" Target="mailto:mirash97@gmail.com?bcc=6914917@bcc.hubspot.com" TargetMode="External"/><Relationship Id="rId1541" Type="http://schemas.openxmlformats.org/officeDocument/2006/relationships/hyperlink" Target="mailto:drmuhammed10@gmail.com?bcc=6914917@bcc.hubspot.com" TargetMode="External"/><Relationship Id="rId1542" Type="http://schemas.openxmlformats.org/officeDocument/2006/relationships/hyperlink" Target="mailto:mohammed_wahbe@hotmail.com?bcc=6914917@bcc.hubspot.com" TargetMode="External"/><Relationship Id="rId590" Type="http://schemas.openxmlformats.org/officeDocument/2006/relationships/hyperlink" Target="mailto:zohaib.siddiqui@live.com?bcc=6914917@bcc.hubspot.com" TargetMode="External"/><Relationship Id="rId107" Type="http://schemas.openxmlformats.org/officeDocument/2006/relationships/hyperlink" Target="mailto:khb@gmail.com?bcc=6914917@bcc.hubspot.com" TargetMode="External"/><Relationship Id="rId106" Type="http://schemas.openxmlformats.org/officeDocument/2006/relationships/hyperlink" Target="mailto:nkatous85@gmail.com?bcc=6914917@bcc.hubspot.com" TargetMode="External"/><Relationship Id="rId105" Type="http://schemas.openxmlformats.org/officeDocument/2006/relationships/hyperlink" Target="mailto:ahmadabukuhail@gmail.com?bcc=6914917@bcc.hubspot.com" TargetMode="External"/><Relationship Id="rId589" Type="http://schemas.openxmlformats.org/officeDocument/2006/relationships/hyperlink" Target="mailto:fedoo_@hotmail.com?bcc=6914917@bcc.hubspot.com" TargetMode="External"/><Relationship Id="rId104" Type="http://schemas.openxmlformats.org/officeDocument/2006/relationships/hyperlink" Target="mailto:Psolution1987@gmail.com?bcc=6914917@bcc.hubspot.com" TargetMode="External"/><Relationship Id="rId588" Type="http://schemas.openxmlformats.org/officeDocument/2006/relationships/hyperlink" Target="mailto:mashwhor@icloud.com?bcc=6914917@bcc.hubspot.com" TargetMode="External"/><Relationship Id="rId109" Type="http://schemas.openxmlformats.org/officeDocument/2006/relationships/hyperlink" Target="mailto:aan.mak@hotmail.com?bcc=6914917@bcc.hubspot.com" TargetMode="External"/><Relationship Id="rId1170" Type="http://schemas.openxmlformats.org/officeDocument/2006/relationships/hyperlink" Target="mailto:chongvaikuan@hotmail.com?bcc=6914917@bcc.hubspot.com" TargetMode="External"/><Relationship Id="rId108" Type="http://schemas.openxmlformats.org/officeDocument/2006/relationships/hyperlink" Target="mailto:ziad62@gmail.com?bcc=6914917@bcc.hubspot.com" TargetMode="External"/><Relationship Id="rId1171" Type="http://schemas.openxmlformats.org/officeDocument/2006/relationships/hyperlink" Target="mailto:whathefuck@yahoo.com?bcc=6914917@bcc.hubspot.com" TargetMode="External"/><Relationship Id="rId583" Type="http://schemas.openxmlformats.org/officeDocument/2006/relationships/hyperlink" Target="mailto:raedwannous@yahoo.com?bcc=6914917@bcc.hubspot.com" TargetMode="External"/><Relationship Id="rId1172" Type="http://schemas.openxmlformats.org/officeDocument/2006/relationships/hyperlink" Target="mailto:yungkiu57@gmail.com?bcc=6914917@bcc.hubspot.com" TargetMode="External"/><Relationship Id="rId582" Type="http://schemas.openxmlformats.org/officeDocument/2006/relationships/hyperlink" Target="mailto:obaidalketbi12@gmail.com?bcc=6914917@bcc.hubspot.com" TargetMode="External"/><Relationship Id="rId1173" Type="http://schemas.openxmlformats.org/officeDocument/2006/relationships/hyperlink" Target="mailto:alsarriuae@yahoo.com?bcc=6914917@bcc.hubspot.com" TargetMode="External"/><Relationship Id="rId581" Type="http://schemas.openxmlformats.org/officeDocument/2006/relationships/hyperlink" Target="mailto:drshoeb@yahoo.com?bcc=6914917@bcc.hubspot.com" TargetMode="External"/><Relationship Id="rId1174" Type="http://schemas.openxmlformats.org/officeDocument/2006/relationships/hyperlink" Target="mailto:bilalje340@gmail.com?bcc=6914917@bcc.hubspot.com" TargetMode="External"/><Relationship Id="rId580" Type="http://schemas.openxmlformats.org/officeDocument/2006/relationships/hyperlink" Target="mailto:juicy_basem@yahoo.com?bcc=6914917@bcc.hubspot.com" TargetMode="External"/><Relationship Id="rId1175" Type="http://schemas.openxmlformats.org/officeDocument/2006/relationships/hyperlink" Target="mailto:tyagidramir@gmail.com?bcc=6914917@bcc.hubspot.com" TargetMode="External"/><Relationship Id="rId103" Type="http://schemas.openxmlformats.org/officeDocument/2006/relationships/hyperlink" Target="mailto:aljemri@hotmail.com?bcc=6914917@bcc.hubspot.com" TargetMode="External"/><Relationship Id="rId587" Type="http://schemas.openxmlformats.org/officeDocument/2006/relationships/hyperlink" Target="mailto:x_z_66@hotmail.com?bcc=6914917@bcc.hubspot.com" TargetMode="External"/><Relationship Id="rId1176" Type="http://schemas.openxmlformats.org/officeDocument/2006/relationships/hyperlink" Target="mailto:lz181220079@gmail.com?bcc=6914917@bcc.hubspot.com" TargetMode="External"/><Relationship Id="rId102" Type="http://schemas.openxmlformats.org/officeDocument/2006/relationships/hyperlink" Target="mailto:alqayidi@gmail.com?bcc=6914917@bcc.hubspot.com" TargetMode="External"/><Relationship Id="rId586" Type="http://schemas.openxmlformats.org/officeDocument/2006/relationships/hyperlink" Target="mailto:salem3337762@fmail.com?bcc=6914917@bcc.hubspot.com" TargetMode="External"/><Relationship Id="rId1177" Type="http://schemas.openxmlformats.org/officeDocument/2006/relationships/hyperlink" Target="mailto:rcp1828@yahoo.com?bcc=6914917@bcc.hubspot.com" TargetMode="External"/><Relationship Id="rId101" Type="http://schemas.openxmlformats.org/officeDocument/2006/relationships/hyperlink" Target="mailto:mouradbarcos@hotmail.com?bcc=6914917@bcc.hubspot.com" TargetMode="External"/><Relationship Id="rId585" Type="http://schemas.openxmlformats.org/officeDocument/2006/relationships/hyperlink" Target="mailto:yousef.kamali@yahoo.com?bcc=6914917@bcc.hubspot.com" TargetMode="External"/><Relationship Id="rId1178" Type="http://schemas.openxmlformats.org/officeDocument/2006/relationships/hyperlink" Target="mailto:mwmw2009@live.com?bcc=6914917@bcc.hubspot.com" TargetMode="External"/><Relationship Id="rId100" Type="http://schemas.openxmlformats.org/officeDocument/2006/relationships/hyperlink" Target="mailto:r0555511240@gmail.com?bcc=6914917@bcc.hubspot.com" TargetMode="External"/><Relationship Id="rId584" Type="http://schemas.openxmlformats.org/officeDocument/2006/relationships/hyperlink" Target="mailto:brucejagtiani@gmail.com?bcc=6914917@bcc.hubspot.com" TargetMode="External"/><Relationship Id="rId1179" Type="http://schemas.openxmlformats.org/officeDocument/2006/relationships/hyperlink" Target="mailto:mohnnaddaralsharaq@gmail.com?bcc=6914917@bcc.hubspot.com" TargetMode="External"/><Relationship Id="rId1169" Type="http://schemas.openxmlformats.org/officeDocument/2006/relationships/hyperlink" Target="mailto:mogalhassan5@gmail.com?bcc=6914917@bcc.hubspot.com" TargetMode="External"/><Relationship Id="rId579" Type="http://schemas.openxmlformats.org/officeDocument/2006/relationships/hyperlink" Target="mailto:babar.a.hashmi@gmail.com?bcc=6914917@bcc.hubspot.com" TargetMode="External"/><Relationship Id="rId578" Type="http://schemas.openxmlformats.org/officeDocument/2006/relationships/hyperlink" Target="mailto:yusufali38@hotmail.com?bcc=6914917@bcc.hubspot.com" TargetMode="External"/><Relationship Id="rId577" Type="http://schemas.openxmlformats.org/officeDocument/2006/relationships/hyperlink" Target="mailto:hosam.surgeon@gmail.com?bcc=6914917@bcc.hubspot.com" TargetMode="External"/><Relationship Id="rId1160" Type="http://schemas.openxmlformats.org/officeDocument/2006/relationships/hyperlink" Target="mailto:rameshkaup@hotmail.com?bcc=6914917@bcc.hubspot.com" TargetMode="External"/><Relationship Id="rId572" Type="http://schemas.openxmlformats.org/officeDocument/2006/relationships/hyperlink" Target="mailto:haseebandrabi@hotmail.com?bcc=6914917@bcc.hubspot.com" TargetMode="External"/><Relationship Id="rId1161" Type="http://schemas.openxmlformats.org/officeDocument/2006/relationships/hyperlink" Target="mailto:changys@ms9.hinet.net?bcc=6914917@bcc.hubspot.com" TargetMode="External"/><Relationship Id="rId571" Type="http://schemas.openxmlformats.org/officeDocument/2006/relationships/hyperlink" Target="mailto:mikleye2050@gmail.com?bcc=6914917@bcc.hubspot.com" TargetMode="External"/><Relationship Id="rId1162" Type="http://schemas.openxmlformats.org/officeDocument/2006/relationships/hyperlink" Target="mailto:samiralshook@gmail.com?bcc=6914917@bcc.hubspot.com" TargetMode="External"/><Relationship Id="rId570" Type="http://schemas.openxmlformats.org/officeDocument/2006/relationships/hyperlink" Target="mailto:fatima-ghafli@hotmail.com?bcc=6914917@bcc.hubspot.com" TargetMode="External"/><Relationship Id="rId1163" Type="http://schemas.openxmlformats.org/officeDocument/2006/relationships/hyperlink" Target="mailto:mufeed2251@gmail.com?bcc=6914917@bcc.hubspot.com" TargetMode="External"/><Relationship Id="rId1164" Type="http://schemas.openxmlformats.org/officeDocument/2006/relationships/hyperlink" Target="mailto:tilal_khalil@yahoo.com?bcc=6914917@bcc.hubspot.com" TargetMode="External"/><Relationship Id="rId576" Type="http://schemas.openxmlformats.org/officeDocument/2006/relationships/hyperlink" Target="mailto:charbel.zreiby@hotmail.com?bcc=6914917@bcc.hubspot.com" TargetMode="External"/><Relationship Id="rId1165" Type="http://schemas.openxmlformats.org/officeDocument/2006/relationships/hyperlink" Target="mailto:sadiq.pasha78680@gmail.com?bcc=6914917@bcc.hubspot.com" TargetMode="External"/><Relationship Id="rId575" Type="http://schemas.openxmlformats.org/officeDocument/2006/relationships/hyperlink" Target="mailto:keny131272@gmail.con?bcc=6914917@bcc.hubspot.com" TargetMode="External"/><Relationship Id="rId1166" Type="http://schemas.openxmlformats.org/officeDocument/2006/relationships/hyperlink" Target="mailto:a.emad2016@hotmail.com?bcc=6914917@bcc.hubspot.com" TargetMode="External"/><Relationship Id="rId574" Type="http://schemas.openxmlformats.org/officeDocument/2006/relationships/hyperlink" Target="mailto:alihammadi.9911@gmail.com?bcc=6914917@bcc.hubspot.com" TargetMode="External"/><Relationship Id="rId1167" Type="http://schemas.openxmlformats.org/officeDocument/2006/relationships/hyperlink" Target="mailto:saketseth@hotmail.com?bcc=6914917@bcc.hubspot.com" TargetMode="External"/><Relationship Id="rId573" Type="http://schemas.openxmlformats.org/officeDocument/2006/relationships/hyperlink" Target="mailto:jack.888@hotmail.com?bcc=6914917@bcc.hubspot.com" TargetMode="External"/><Relationship Id="rId1168" Type="http://schemas.openxmlformats.org/officeDocument/2006/relationships/hyperlink" Target="mailto:richard@mastercook.ae?bcc=6914917@bcc.hubspot.com" TargetMode="External"/><Relationship Id="rId129" Type="http://schemas.openxmlformats.org/officeDocument/2006/relationships/hyperlink" Target="mailto:dr.bashir.j@gmail.com?bcc=6914917@bcc.hubspot.com" TargetMode="External"/><Relationship Id="rId128" Type="http://schemas.openxmlformats.org/officeDocument/2006/relationships/hyperlink" Target="mailto:aqeel-2020@hotmail.com?bcc=6914917@bcc.hubspot.com" TargetMode="External"/><Relationship Id="rId127" Type="http://schemas.openxmlformats.org/officeDocument/2006/relationships/hyperlink" Target="mailto:ahmadabunijem.aan@gmail.com?bcc=6914917@bcc.hubspot.com" TargetMode="External"/><Relationship Id="rId126" Type="http://schemas.openxmlformats.org/officeDocument/2006/relationships/hyperlink" Target="mailto:ker_omar@hotmai.fr?bcc=6914917@bcc.hubspot.com" TargetMode="External"/><Relationship Id="rId1190" Type="http://schemas.openxmlformats.org/officeDocument/2006/relationships/hyperlink" Target="mailto:amr_alshfei@hotmail.com?bcc=6914917@bcc.hubspot.com" TargetMode="External"/><Relationship Id="rId1191" Type="http://schemas.openxmlformats.org/officeDocument/2006/relationships/hyperlink" Target="mailto:shaikhshakeel@yahoo.com?bcc=6914917@bcc.hubspot.com" TargetMode="External"/><Relationship Id="rId1192" Type="http://schemas.openxmlformats.org/officeDocument/2006/relationships/hyperlink" Target="mailto:kd@gammauae.net?bcc=6914917@bcc.hubspot.com" TargetMode="External"/><Relationship Id="rId1193" Type="http://schemas.openxmlformats.org/officeDocument/2006/relationships/hyperlink" Target="mailto:humaid51001@gmail.com?bcc=6914917@bcc.hubspot.com" TargetMode="External"/><Relationship Id="rId121" Type="http://schemas.openxmlformats.org/officeDocument/2006/relationships/hyperlink" Target="mailto:mohmdfiaz99@gmail.com?bcc=6914917@bcc.hubspot.com" TargetMode="External"/><Relationship Id="rId1194" Type="http://schemas.openxmlformats.org/officeDocument/2006/relationships/hyperlink" Target="mailto:banawyab@yahoo.com?bcc=6914917@bcc.hubspot.com" TargetMode="External"/><Relationship Id="rId120" Type="http://schemas.openxmlformats.org/officeDocument/2006/relationships/hyperlink" Target="mailto:jghh@hotmail.com?bcc=6914917@bcc.hubspot.com" TargetMode="External"/><Relationship Id="rId1195" Type="http://schemas.openxmlformats.org/officeDocument/2006/relationships/hyperlink" Target="mailto:hmdanalmafya@gmail.com?bcc=6914917@bcc.hubspot.com" TargetMode="External"/><Relationship Id="rId1196" Type="http://schemas.openxmlformats.org/officeDocument/2006/relationships/hyperlink" Target="mailto:japs190501@yahoo.com?bcc=6914917@bcc.hubspot.com" TargetMode="External"/><Relationship Id="rId1197" Type="http://schemas.openxmlformats.org/officeDocument/2006/relationships/hyperlink" Target="mailto:chanmaukeung@gmail.com?bcc=6914917@bcc.hubspot.com" TargetMode="External"/><Relationship Id="rId125" Type="http://schemas.openxmlformats.org/officeDocument/2006/relationships/hyperlink" Target="mailto:daniahobaidat@gmail.com?bcc=6914917@bcc.hubspot.com" TargetMode="External"/><Relationship Id="rId1198" Type="http://schemas.openxmlformats.org/officeDocument/2006/relationships/hyperlink" Target="mailto:muheebodah@yahoo.com?bcc=6914917@bcc.hubspot.com" TargetMode="External"/><Relationship Id="rId124" Type="http://schemas.openxmlformats.org/officeDocument/2006/relationships/hyperlink" Target="mailto:saleh1243@gmail.com?bcc=6914917@bcc.hubspot.com" TargetMode="External"/><Relationship Id="rId1199" Type="http://schemas.openxmlformats.org/officeDocument/2006/relationships/hyperlink" Target="mailto:simo-mosa@hotmail.com?bcc=6914917@bcc.hubspot.com" TargetMode="External"/><Relationship Id="rId123" Type="http://schemas.openxmlformats.org/officeDocument/2006/relationships/hyperlink" Target="mailto:ziad9gamal@gmail.com?bcc=6914917@bcc.hubspot.com" TargetMode="External"/><Relationship Id="rId122" Type="http://schemas.openxmlformats.org/officeDocument/2006/relationships/hyperlink" Target="mailto:ibr05055m@gmailc.com?bcc=6914917@bcc.hubspot.com" TargetMode="External"/><Relationship Id="rId118" Type="http://schemas.openxmlformats.org/officeDocument/2006/relationships/hyperlink" Target="mailto:heshamatieh@yahoo.com?bcc=6914917@bcc.hubspot.com" TargetMode="External"/><Relationship Id="rId117" Type="http://schemas.openxmlformats.org/officeDocument/2006/relationships/hyperlink" Target="mailto:mehfoozbajwa@gmail.com?bcc=6914917@bcc.hubspot.com" TargetMode="External"/><Relationship Id="rId116" Type="http://schemas.openxmlformats.org/officeDocument/2006/relationships/hyperlink" Target="mailto:tarekzeb@hotmail.com?bcc=6914917@bcc.hubspot.com" TargetMode="External"/><Relationship Id="rId115" Type="http://schemas.openxmlformats.org/officeDocument/2006/relationships/hyperlink" Target="mailto:mattheketh1976@googlemail.com?bcc=6914917@bcc.hubspot.com" TargetMode="External"/><Relationship Id="rId599" Type="http://schemas.openxmlformats.org/officeDocument/2006/relationships/hyperlink" Target="mailto:hemant4@yahoo.com?bcc=6914917@bcc.hubspot.com" TargetMode="External"/><Relationship Id="rId1180" Type="http://schemas.openxmlformats.org/officeDocument/2006/relationships/hyperlink" Target="mailto:rhalazon@gmail.com?bcc=6914917@bcc.hubspot.com" TargetMode="External"/><Relationship Id="rId1181" Type="http://schemas.openxmlformats.org/officeDocument/2006/relationships/hyperlink" Target="mailto:souhila.garnier@gmail.com?bcc=6914917@bcc.hubspot.com" TargetMode="External"/><Relationship Id="rId119" Type="http://schemas.openxmlformats.org/officeDocument/2006/relationships/hyperlink" Target="mailto:aakbr@kau.edu.sa?bcc=6914917@bcc.hubspot.com" TargetMode="External"/><Relationship Id="rId1182" Type="http://schemas.openxmlformats.org/officeDocument/2006/relationships/hyperlink" Target="mailto:sharif_gulf@hotmail.com?bcc=6914917@bcc.hubspot.com" TargetMode="External"/><Relationship Id="rId110" Type="http://schemas.openxmlformats.org/officeDocument/2006/relationships/hyperlink" Target="mailto:aburn11@hotmail.com?bcc=6914917@bcc.hubspot.com" TargetMode="External"/><Relationship Id="rId594" Type="http://schemas.openxmlformats.org/officeDocument/2006/relationships/hyperlink" Target="mailto:osmanshahzad1981@gmail.com?bcc=6914917@bcc.hubspot.com" TargetMode="External"/><Relationship Id="rId1183" Type="http://schemas.openxmlformats.org/officeDocument/2006/relationships/hyperlink" Target="mailto:someone@something.com?bcc=6914917@bcc.hubspot.com" TargetMode="External"/><Relationship Id="rId593" Type="http://schemas.openxmlformats.org/officeDocument/2006/relationships/hyperlink" Target="mailto:awaisabbasi1990@gmail.com?bcc=6914917@bcc.hubspot.com" TargetMode="External"/><Relationship Id="rId1184" Type="http://schemas.openxmlformats.org/officeDocument/2006/relationships/hyperlink" Target="mailto:masood.rafiq10@gmail.com?bcc=6914917@bcc.hubspot.com" TargetMode="External"/><Relationship Id="rId592" Type="http://schemas.openxmlformats.org/officeDocument/2006/relationships/hyperlink" Target="mailto:pakukas@hotmail.com?bcc=6914917@bcc.hubspot.com" TargetMode="External"/><Relationship Id="rId1185" Type="http://schemas.openxmlformats.org/officeDocument/2006/relationships/hyperlink" Target="mailto:mohnnaddaralsharaq@gmail.com?bcc=6914917@bcc.hubspot.com" TargetMode="External"/><Relationship Id="rId591" Type="http://schemas.openxmlformats.org/officeDocument/2006/relationships/hyperlink" Target="mailto:pridehill2016@gmail.com?bcc=6914917@bcc.hubspot.com" TargetMode="External"/><Relationship Id="rId1186" Type="http://schemas.openxmlformats.org/officeDocument/2006/relationships/hyperlink" Target="mailto:alia44645@gmail.com?bcc=6914917@bcc.hubspot.com" TargetMode="External"/><Relationship Id="rId114" Type="http://schemas.openxmlformats.org/officeDocument/2006/relationships/hyperlink" Target="mailto:a.al5ayal123@gmail.com?bcc=6914917@bcc.hubspot.com" TargetMode="External"/><Relationship Id="rId598" Type="http://schemas.openxmlformats.org/officeDocument/2006/relationships/hyperlink" Target="mailto:reeman112233@gmail.com?bcc=6914917@bcc.hubspot.com" TargetMode="External"/><Relationship Id="rId1187" Type="http://schemas.openxmlformats.org/officeDocument/2006/relationships/hyperlink" Target="mailto:mwmw2009@live.com?bcc=6914917@bcc.hubspot.com" TargetMode="External"/><Relationship Id="rId113" Type="http://schemas.openxmlformats.org/officeDocument/2006/relationships/hyperlink" Target="mailto:mohammed.alsaud128@gmail.com?bcc=6914917@bcc.hubspot.com" TargetMode="External"/><Relationship Id="rId597" Type="http://schemas.openxmlformats.org/officeDocument/2006/relationships/hyperlink" Target="https://app.hubspot.com/contacts/6914917/contact/438201/" TargetMode="External"/><Relationship Id="rId1188" Type="http://schemas.openxmlformats.org/officeDocument/2006/relationships/hyperlink" Target="mailto:mariam.alq@hotmail.com?bcc=6914917@bcc.hubspot.com" TargetMode="External"/><Relationship Id="rId112" Type="http://schemas.openxmlformats.org/officeDocument/2006/relationships/hyperlink" Target="mailto:jhkuio@hotmail.com?bcc=6914917@bcc.hubspot.com" TargetMode="External"/><Relationship Id="rId596" Type="http://schemas.openxmlformats.org/officeDocument/2006/relationships/hyperlink" Target="mailto:AhmedAAlneyadi@hotmail.com?bcc=6914917@bcc.hubspot.com" TargetMode="External"/><Relationship Id="rId1189" Type="http://schemas.openxmlformats.org/officeDocument/2006/relationships/hyperlink" Target="mailto:mohyusufus@yahoo.com?bcc=6914917@bcc.hubspot.com" TargetMode="External"/><Relationship Id="rId111" Type="http://schemas.openxmlformats.org/officeDocument/2006/relationships/hyperlink" Target="mailto:a.bebo02@gmail.com?bcc=6914917@bcc.hubspot.com" TargetMode="External"/><Relationship Id="rId595" Type="http://schemas.openxmlformats.org/officeDocument/2006/relationships/hyperlink" Target="mailto:radwan.2020@yahoo.com?bcc=6914917@bcc.hubspot.com" TargetMode="External"/><Relationship Id="rId1136" Type="http://schemas.openxmlformats.org/officeDocument/2006/relationships/hyperlink" Target="mailto:s-almansouri@hotmail.com?bcc=6914917@bcc.hubspot.com" TargetMode="External"/><Relationship Id="rId1137" Type="http://schemas.openxmlformats.org/officeDocument/2006/relationships/hyperlink" Target="mailto:mohsen2013311@gmail.com?bcc=6914917@bcc.hubspot.com" TargetMode="External"/><Relationship Id="rId1138" Type="http://schemas.openxmlformats.org/officeDocument/2006/relationships/hyperlink" Target="mailto:mohamd225kk@gmail.com?bcc=6914917@bcc.hubspot.com" TargetMode="External"/><Relationship Id="rId1139" Type="http://schemas.openxmlformats.org/officeDocument/2006/relationships/hyperlink" Target="mailto:moya223345@gmail.com?bcc=6914917@bcc.hubspot.com" TargetMode="External"/><Relationship Id="rId547" Type="http://schemas.openxmlformats.org/officeDocument/2006/relationships/hyperlink" Target="mailto:mvadiee2@gmail.com?bcc=6914917@bcc.hubspot.com" TargetMode="External"/><Relationship Id="rId546" Type="http://schemas.openxmlformats.org/officeDocument/2006/relationships/hyperlink" Target="mailto:kamranmalik84@hotmail.com?bcc=6914917@bcc.hubspot.com" TargetMode="External"/><Relationship Id="rId545" Type="http://schemas.openxmlformats.org/officeDocument/2006/relationships/hyperlink" Target="mailto:1979salem@gmail.com?bcc=6914917@bcc.hubspot.com" TargetMode="External"/><Relationship Id="rId544" Type="http://schemas.openxmlformats.org/officeDocument/2006/relationships/hyperlink" Target="mailto:alaa.subky@gmail.com?bcc=6914917@bcc.hubspot.com" TargetMode="External"/><Relationship Id="rId549" Type="http://schemas.openxmlformats.org/officeDocument/2006/relationships/hyperlink" Target="mailto:toby.n.roberts@gmx.com?bcc=6914917@bcc.hubspot.com" TargetMode="External"/><Relationship Id="rId548" Type="http://schemas.openxmlformats.org/officeDocument/2006/relationships/hyperlink" Target="mailto:r3amh@hotmail.com?bcc=6914917@bcc.hubspot.com" TargetMode="External"/><Relationship Id="rId1130" Type="http://schemas.openxmlformats.org/officeDocument/2006/relationships/hyperlink" Target="mailto:a110b110c110d110@126.com?bcc=6914917@bcc.hubspot.com" TargetMode="External"/><Relationship Id="rId1131" Type="http://schemas.openxmlformats.org/officeDocument/2006/relationships/hyperlink" Target="mailto:hudagg123123@gmail.com?bcc=6914917@bcc.hubspot.com" TargetMode="External"/><Relationship Id="rId543" Type="http://schemas.openxmlformats.org/officeDocument/2006/relationships/hyperlink" Target="mailto:latifa.alnuaimi11@hotmail.com?bcc=6914917@bcc.hubspot.com" TargetMode="External"/><Relationship Id="rId1132" Type="http://schemas.openxmlformats.org/officeDocument/2006/relationships/hyperlink" Target="mailto:ayed_t@live.com?bcc=6914917@bcc.hubspot.com" TargetMode="External"/><Relationship Id="rId542" Type="http://schemas.openxmlformats.org/officeDocument/2006/relationships/hyperlink" Target="mailto:maha_alwahshi1990@hotmail.com?bcc=6914917@bcc.hubspot.com" TargetMode="External"/><Relationship Id="rId1133" Type="http://schemas.openxmlformats.org/officeDocument/2006/relationships/hyperlink" Target="mailto:cyfung33@hotmail.com?bcc=6914917@bcc.hubspot.com" TargetMode="External"/><Relationship Id="rId541" Type="http://schemas.openxmlformats.org/officeDocument/2006/relationships/hyperlink" Target="mailto:alshehhi.878@gmail.com?bcc=6914917@bcc.hubspot.com" TargetMode="External"/><Relationship Id="rId1134" Type="http://schemas.openxmlformats.org/officeDocument/2006/relationships/hyperlink" Target="mailto:ghariba.s@hotmail.com?bcc=6914917@bcc.hubspot.com" TargetMode="External"/><Relationship Id="rId540" Type="http://schemas.openxmlformats.org/officeDocument/2006/relationships/hyperlink" Target="mailto:nsasadi@yahoo.com?bcc=6914917@bcc.hubspot.com" TargetMode="External"/><Relationship Id="rId1135" Type="http://schemas.openxmlformats.org/officeDocument/2006/relationships/hyperlink" Target="mailto:ahmedissa1963@yahoo.com?bcc=6914917@bcc.hubspot.com" TargetMode="External"/><Relationship Id="rId1125" Type="http://schemas.openxmlformats.org/officeDocument/2006/relationships/hyperlink" Target="mailto:bachar.hani@gmail.com?bcc=6914917@bcc.hubspot.com" TargetMode="External"/><Relationship Id="rId1126" Type="http://schemas.openxmlformats.org/officeDocument/2006/relationships/hyperlink" Target="mailto:alya_benjema@yahoo.com?bcc=6914917@bcc.hubspot.com" TargetMode="External"/><Relationship Id="rId1127" Type="http://schemas.openxmlformats.org/officeDocument/2006/relationships/hyperlink" Target="mailto:mdju@hotmail.com?bcc=6914917@bcc.hubspot.com" TargetMode="External"/><Relationship Id="rId1128" Type="http://schemas.openxmlformats.org/officeDocument/2006/relationships/hyperlink" Target="mailto:hi_eley@hotmail.com?bcc=6914917@bcc.hubspot.com" TargetMode="External"/><Relationship Id="rId1129" Type="http://schemas.openxmlformats.org/officeDocument/2006/relationships/hyperlink" Target="mailto:jimmmmywu2004@gmail.com?bcc=6914917@bcc.hubspot.com" TargetMode="External"/><Relationship Id="rId536" Type="http://schemas.openxmlformats.org/officeDocument/2006/relationships/hyperlink" Target="mailto:reema.hamade@gmail.com?bcc=6914917@bcc.hubspot.com" TargetMode="External"/><Relationship Id="rId535" Type="http://schemas.openxmlformats.org/officeDocument/2006/relationships/hyperlink" Target="mailto:hallalsalam@hotmail.com?bcc=6914917@bcc.hubspot.com" TargetMode="External"/><Relationship Id="rId534" Type="http://schemas.openxmlformats.org/officeDocument/2006/relationships/hyperlink" Target="mailto:gtr-34@hotmail.co.uk?bcc=6914917@bcc.hubspot.com" TargetMode="External"/><Relationship Id="rId533" Type="http://schemas.openxmlformats.org/officeDocument/2006/relationships/hyperlink" Target="mailto:dale20182018@hotmail.com?bcc=6914917@bcc.hubspot.com" TargetMode="External"/><Relationship Id="rId539" Type="http://schemas.openxmlformats.org/officeDocument/2006/relationships/hyperlink" Target="mailto:maabudaqqa@gmail.com?bcc=6914917@bcc.hubspot.com" TargetMode="External"/><Relationship Id="rId538" Type="http://schemas.openxmlformats.org/officeDocument/2006/relationships/hyperlink" Target="mailto:a_aljabouri@yahoo.com?bcc=6914917@bcc.hubspot.com" TargetMode="External"/><Relationship Id="rId537" Type="http://schemas.openxmlformats.org/officeDocument/2006/relationships/hyperlink" Target="mailto:ferasyounes@gmail.com?bcc=6914917@bcc.hubspot.com" TargetMode="External"/><Relationship Id="rId1120" Type="http://schemas.openxmlformats.org/officeDocument/2006/relationships/hyperlink" Target="mailto:walaa_abufarha@hotmail.com?bcc=6914917@bcc.hubspot.com" TargetMode="External"/><Relationship Id="rId532" Type="http://schemas.openxmlformats.org/officeDocument/2006/relationships/hyperlink" Target="mailto:ashwin@electromec-uae.com?bcc=6914917@bcc.hubspot.com" TargetMode="External"/><Relationship Id="rId1121" Type="http://schemas.openxmlformats.org/officeDocument/2006/relationships/hyperlink" Target="mailto:ns_sindhu@yahoo.com?bcc=6914917@bcc.hubspot.com" TargetMode="External"/><Relationship Id="rId531" Type="http://schemas.openxmlformats.org/officeDocument/2006/relationships/hyperlink" Target="mailto:amitshahani@hotmail.com?bcc=6914917@bcc.hubspot.com" TargetMode="External"/><Relationship Id="rId1122" Type="http://schemas.openxmlformats.org/officeDocument/2006/relationships/hyperlink" Target="mailto:munazzaz@aol.com?bcc=6914917@bcc.hubspot.com" TargetMode="External"/><Relationship Id="rId530" Type="http://schemas.openxmlformats.org/officeDocument/2006/relationships/hyperlink" Target="mailto:simonntale@gmail.com?bcc=6914917@bcc.hubspot.com" TargetMode="External"/><Relationship Id="rId1123" Type="http://schemas.openxmlformats.org/officeDocument/2006/relationships/hyperlink" Target="mailto:merien.bildsten@gmail.com?bcc=6914917@bcc.hubspot.com" TargetMode="External"/><Relationship Id="rId1124" Type="http://schemas.openxmlformats.org/officeDocument/2006/relationships/hyperlink" Target="mailto:ahmed_w_engeniring@yahoo.com?bcc=6914917@bcc.hubspot.com" TargetMode="External"/><Relationship Id="rId1158" Type="http://schemas.openxmlformats.org/officeDocument/2006/relationships/hyperlink" Target="mailto:constainm@gmail.com?bcc=6914917@bcc.hubspot.com" TargetMode="External"/><Relationship Id="rId1159" Type="http://schemas.openxmlformats.org/officeDocument/2006/relationships/hyperlink" Target="mailto:sheikhm284@gmail.com?bcc=6914917@bcc.hubspot.com" TargetMode="External"/><Relationship Id="rId569" Type="http://schemas.openxmlformats.org/officeDocument/2006/relationships/hyperlink" Target="mailto:maged-81@live.com?bcc=6914917@bcc.hubspot.com" TargetMode="External"/><Relationship Id="rId568" Type="http://schemas.openxmlformats.org/officeDocument/2006/relationships/hyperlink" Target="mailto:thedeto84@gmail.com?bcc=6914917@bcc.hubspot.com" TargetMode="External"/><Relationship Id="rId567" Type="http://schemas.openxmlformats.org/officeDocument/2006/relationships/hyperlink" Target="mailto:ahmad14780@hotmail.com?bcc=6914917@bcc.hubspot.com" TargetMode="External"/><Relationship Id="rId566" Type="http://schemas.openxmlformats.org/officeDocument/2006/relationships/hyperlink" Target="mailto:um-khawl3@hotmail.com?bcc=6914917@bcc.hubspot.com" TargetMode="External"/><Relationship Id="rId561" Type="http://schemas.openxmlformats.org/officeDocument/2006/relationships/hyperlink" Target="mailto:nadia.hufkie@gmail.com?bcc=6914917@bcc.hubspot.com" TargetMode="External"/><Relationship Id="rId1150" Type="http://schemas.openxmlformats.org/officeDocument/2006/relationships/hyperlink" Target="mailto:honestwateen@hotmail.com?bcc=6914917@bcc.hubspot.com" TargetMode="External"/><Relationship Id="rId560" Type="http://schemas.openxmlformats.org/officeDocument/2006/relationships/hyperlink" Target="mailto:hristo.kalpakchiev@gmail.com?bcc=6914917@bcc.hubspot.com" TargetMode="External"/><Relationship Id="rId1151" Type="http://schemas.openxmlformats.org/officeDocument/2006/relationships/hyperlink" Target="mailto:ams7416@gmail.com?bcc=6914917@bcc.hubspot.com" TargetMode="External"/><Relationship Id="rId1152" Type="http://schemas.openxmlformats.org/officeDocument/2006/relationships/hyperlink" Target="mailto:haddadi-3-t-1@hotmail.com?bcc=6914917@bcc.hubspot.com" TargetMode="External"/><Relationship Id="rId1153" Type="http://schemas.openxmlformats.org/officeDocument/2006/relationships/hyperlink" Target="mailto:kevinkok40@gmail.com?bcc=6914917@bcc.hubspot.com" TargetMode="External"/><Relationship Id="rId565" Type="http://schemas.openxmlformats.org/officeDocument/2006/relationships/hyperlink" Target="mailto:saleh.ebrar@live.com?bcc=6914917@bcc.hubspot.com" TargetMode="External"/><Relationship Id="rId1154" Type="http://schemas.openxmlformats.org/officeDocument/2006/relationships/hyperlink" Target="mailto:smocc_rb@yahoo.com?bcc=6914917@bcc.hubspot.com" TargetMode="External"/><Relationship Id="rId564" Type="http://schemas.openxmlformats.org/officeDocument/2006/relationships/hyperlink" Target="mailto:salimanaplace@gmial.com?bcc=6914917@bcc.hubspot.com" TargetMode="External"/><Relationship Id="rId1155" Type="http://schemas.openxmlformats.org/officeDocument/2006/relationships/hyperlink" Target="mailto:abo_mahmod_95@hotmail.com?bcc=6914917@bcc.hubspot.com" TargetMode="External"/><Relationship Id="rId563" Type="http://schemas.openxmlformats.org/officeDocument/2006/relationships/hyperlink" Target="mailto:owais.ift@gmail.com?bcc=6914917@bcc.hubspot.com" TargetMode="External"/><Relationship Id="rId1156" Type="http://schemas.openxmlformats.org/officeDocument/2006/relationships/hyperlink" Target="mailto:hr.melsafey@gmail.com?bcc=6914917@bcc.hubspot.com" TargetMode="External"/><Relationship Id="rId562" Type="http://schemas.openxmlformats.org/officeDocument/2006/relationships/hyperlink" Target="mailto:saeedmasoud1988@gmail.com?bcc=6914917@bcc.hubspot.com" TargetMode="External"/><Relationship Id="rId1157" Type="http://schemas.openxmlformats.org/officeDocument/2006/relationships/hyperlink" Target="mailto:yuncanbec@hotmail.com?bcc=6914917@bcc.hubspot.com" TargetMode="External"/><Relationship Id="rId1147" Type="http://schemas.openxmlformats.org/officeDocument/2006/relationships/hyperlink" Target="mailto:farshadbahmed@gmail.com?bcc=6914917@bcc.hubspot.com" TargetMode="External"/><Relationship Id="rId1148" Type="http://schemas.openxmlformats.org/officeDocument/2006/relationships/hyperlink" Target="mailto:omar.alamri.adnoc.player_10@outlook.com?bcc=6914917@bcc.hubspot.com" TargetMode="External"/><Relationship Id="rId1149" Type="http://schemas.openxmlformats.org/officeDocument/2006/relationships/hyperlink" Target="mailto:bilalhawis@gmail.com?bcc=6914917@bcc.hubspot.com" TargetMode="External"/><Relationship Id="rId558" Type="http://schemas.openxmlformats.org/officeDocument/2006/relationships/hyperlink" Target="mailto:rah_3@hotmail.com?bcc=6914917@bcc.hubspot.com" TargetMode="External"/><Relationship Id="rId557" Type="http://schemas.openxmlformats.org/officeDocument/2006/relationships/hyperlink" Target="mailto:purpleblue61@yahoo.com?bcc=6914917@bcc.hubspot.com" TargetMode="External"/><Relationship Id="rId556" Type="http://schemas.openxmlformats.org/officeDocument/2006/relationships/hyperlink" Target="mailto:shareekkp@hotmail.com?bcc=6914917@bcc.hubspot.com" TargetMode="External"/><Relationship Id="rId555" Type="http://schemas.openxmlformats.org/officeDocument/2006/relationships/hyperlink" Target="mailto:priya06.kr@gmail.com?bcc=6914917@bcc.hubspot.com" TargetMode="External"/><Relationship Id="rId559" Type="http://schemas.openxmlformats.org/officeDocument/2006/relationships/hyperlink" Target="mailto:haytham29@gmail.com?bcc=6914917@bcc.hubspot.com" TargetMode="External"/><Relationship Id="rId550" Type="http://schemas.openxmlformats.org/officeDocument/2006/relationships/hyperlink" Target="mailto:melawork1987@gmail.com?bcc=6914917@bcc.hubspot.com" TargetMode="External"/><Relationship Id="rId1140" Type="http://schemas.openxmlformats.org/officeDocument/2006/relationships/hyperlink" Target="mailto:r1410@hotmail.com?bcc=6914917@bcc.hubspot.com" TargetMode="External"/><Relationship Id="rId1141" Type="http://schemas.openxmlformats.org/officeDocument/2006/relationships/hyperlink" Target="mailto:amin@ferrometal.ae?bcc=6914917@bcc.hubspot.com" TargetMode="External"/><Relationship Id="rId1142" Type="http://schemas.openxmlformats.org/officeDocument/2006/relationships/hyperlink" Target="mailto:amir@eccopars.com?bcc=6914917@bcc.hubspot.com" TargetMode="External"/><Relationship Id="rId554" Type="http://schemas.openxmlformats.org/officeDocument/2006/relationships/hyperlink" Target="mailto:mrs.bintouq@gmail.com?bcc=6914917@bcc.hubspot.com" TargetMode="External"/><Relationship Id="rId1143" Type="http://schemas.openxmlformats.org/officeDocument/2006/relationships/hyperlink" Target="mailto:ali.maania@gmail.com?bcc=6914917@bcc.hubspot.com" TargetMode="External"/><Relationship Id="rId553" Type="http://schemas.openxmlformats.org/officeDocument/2006/relationships/hyperlink" Target="mailto:sherio16@hotmail.com?bcc=6914917@bcc.hubspot.com" TargetMode="External"/><Relationship Id="rId1144" Type="http://schemas.openxmlformats.org/officeDocument/2006/relationships/hyperlink" Target="mailto:dunstanr@eim.ae?bcc=6914917@bcc.hubspot.com" TargetMode="External"/><Relationship Id="rId552" Type="http://schemas.openxmlformats.org/officeDocument/2006/relationships/hyperlink" Target="mailto:awuorlaureen@yahoo.com?bcc=6914917@bcc.hubspot.com" TargetMode="External"/><Relationship Id="rId1145" Type="http://schemas.openxmlformats.org/officeDocument/2006/relationships/hyperlink" Target="mailto:gm@stallionadv.com?bcc=6914917@bcc.hubspot.com" TargetMode="External"/><Relationship Id="rId551" Type="http://schemas.openxmlformats.org/officeDocument/2006/relationships/hyperlink" Target="mailto:kpic122715@gmail.com?bcc=6914917@bcc.hubspot.com" TargetMode="External"/><Relationship Id="rId1146" Type="http://schemas.openxmlformats.org/officeDocument/2006/relationships/hyperlink" Target="mailto:Odaoud75@gmail.com?bcc=6914917@bcc.hubspot.com" TargetMode="External"/><Relationship Id="rId495" Type="http://schemas.openxmlformats.org/officeDocument/2006/relationships/hyperlink" Target="mailto:nsshoe@eim.ae?bcc=6914917@bcc.hubspot.com" TargetMode="External"/><Relationship Id="rId494" Type="http://schemas.openxmlformats.org/officeDocument/2006/relationships/hyperlink" Target="mailto:g.zara.alshaikh@gmail.com?bcc=6914917@bcc.hubspot.com" TargetMode="External"/><Relationship Id="rId493" Type="http://schemas.openxmlformats.org/officeDocument/2006/relationships/hyperlink" Target="mailto:gaf4u@hotmail.com?bcc=6914917@bcc.hubspot.com" TargetMode="External"/><Relationship Id="rId492" Type="http://schemas.openxmlformats.org/officeDocument/2006/relationships/hyperlink" Target="mailto:lakoth@yahoo.com?bcc=6914917@bcc.hubspot.com" TargetMode="External"/><Relationship Id="rId499" Type="http://schemas.openxmlformats.org/officeDocument/2006/relationships/hyperlink" Target="mailto:taranadodani@hotmail.com?bcc=6914917@bcc.hubspot.com" TargetMode="External"/><Relationship Id="rId498" Type="http://schemas.openxmlformats.org/officeDocument/2006/relationships/hyperlink" Target="mailto:ashoknankani1@gmail.com?bcc=6914917@bcc.hubspot.com" TargetMode="External"/><Relationship Id="rId497" Type="http://schemas.openxmlformats.org/officeDocument/2006/relationships/hyperlink" Target="mailto:amanasiddiqui@yahoo.com?bcc=6914917@bcc.hubspot.com" TargetMode="External"/><Relationship Id="rId496" Type="http://schemas.openxmlformats.org/officeDocument/2006/relationships/hyperlink" Target="mailto:iqbal@dsitek.com?bcc=6914917@bcc.hubspot.com" TargetMode="External"/><Relationship Id="rId907" Type="http://schemas.openxmlformats.org/officeDocument/2006/relationships/hyperlink" Target="mailto:rasha.alaileh@gmail.com?bcc=6914917@bcc.hubspot.com" TargetMode="External"/><Relationship Id="rId906" Type="http://schemas.openxmlformats.org/officeDocument/2006/relationships/hyperlink" Target="mailto:maha79@gmail.com?bcc=6914917@bcc.hubspot.com" TargetMode="External"/><Relationship Id="rId905" Type="http://schemas.openxmlformats.org/officeDocument/2006/relationships/hyperlink" Target="mailto:dr_snoopy_pharma@hotmail.com?bcc=6914917@bcc.hubspot.com" TargetMode="External"/><Relationship Id="rId904" Type="http://schemas.openxmlformats.org/officeDocument/2006/relationships/hyperlink" Target="mailto:k.238alhosani@gmail.com?bcc=6914917@bcc.hubspot.com" TargetMode="External"/><Relationship Id="rId909" Type="http://schemas.openxmlformats.org/officeDocument/2006/relationships/hyperlink" Target="mailto:enaam.alkhalifa@hotmail.com?bcc=6914917@bcc.hubspot.com" TargetMode="External"/><Relationship Id="rId908" Type="http://schemas.openxmlformats.org/officeDocument/2006/relationships/hyperlink" Target="mailto:this4me2014@gmail.com?bcc=6914917@bcc.hubspot.com" TargetMode="External"/><Relationship Id="rId903" Type="http://schemas.openxmlformats.org/officeDocument/2006/relationships/hyperlink" Target="mailto:rafeek@gulffruits.com?bcc=6914917@bcc.hubspot.com" TargetMode="External"/><Relationship Id="rId902" Type="http://schemas.openxmlformats.org/officeDocument/2006/relationships/hyperlink" Target="mailto:kellywil560@gmail.com?bcc=6914917@bcc.hubspot.com" TargetMode="External"/><Relationship Id="rId901" Type="http://schemas.openxmlformats.org/officeDocument/2006/relationships/hyperlink" Target="mailto:jadalqabati@gmail.com?bcc=6914917@bcc.hubspot.com" TargetMode="External"/><Relationship Id="rId900" Type="http://schemas.openxmlformats.org/officeDocument/2006/relationships/hyperlink" Target="mailto:ahmadarabieh.net@gmail.com?bcc=6914917@bcc.hubspot.com" TargetMode="External"/><Relationship Id="rId929" Type="http://schemas.openxmlformats.org/officeDocument/2006/relationships/hyperlink" Target="mailto:faisalp5@yahoo.com?bcc=6914917@bcc.hubspot.com" TargetMode="External"/><Relationship Id="rId928" Type="http://schemas.openxmlformats.org/officeDocument/2006/relationships/hyperlink" Target="mailto:rohan.kapoor.1412@gmail.com?bcc=6914917@bcc.hubspot.com" TargetMode="External"/><Relationship Id="rId927" Type="http://schemas.openxmlformats.org/officeDocument/2006/relationships/hyperlink" Target="mailto:alialketbi39@gmail.com?bcc=6914917@bcc.hubspot.com" TargetMode="External"/><Relationship Id="rId926" Type="http://schemas.openxmlformats.org/officeDocument/2006/relationships/hyperlink" Target="mailto:pawanpks@rediffmail.com?bcc=6914917@bcc.hubspot.com" TargetMode="External"/><Relationship Id="rId921" Type="http://schemas.openxmlformats.org/officeDocument/2006/relationships/hyperlink" Target="mailto:nghajar@almasarinvestments.ae?bcc=6914917@bcc.hubspot.com" TargetMode="External"/><Relationship Id="rId920" Type="http://schemas.openxmlformats.org/officeDocument/2006/relationships/hyperlink" Target="mailto:hm-raeesi@hotmail.com?bcc=6914917@bcc.hubspot.com" TargetMode="External"/><Relationship Id="rId925" Type="http://schemas.openxmlformats.org/officeDocument/2006/relationships/hyperlink" Target="mailto:walid.hizaoui1@gmail.com?bcc=6914917@bcc.hubspot.com" TargetMode="External"/><Relationship Id="rId924" Type="http://schemas.openxmlformats.org/officeDocument/2006/relationships/hyperlink" Target="mailto:ham.al3amri@gmail.com?bcc=6914917@bcc.hubspot.com" TargetMode="External"/><Relationship Id="rId923" Type="http://schemas.openxmlformats.org/officeDocument/2006/relationships/hyperlink" Target="mailto:hicham.auajjar@gmail.com?bcc=6914917@bcc.hubspot.com" TargetMode="External"/><Relationship Id="rId922" Type="http://schemas.openxmlformats.org/officeDocument/2006/relationships/hyperlink" Target="mailto:john@aol.com?bcc=6914917@bcc.hubspot.com" TargetMode="External"/><Relationship Id="rId918" Type="http://schemas.openxmlformats.org/officeDocument/2006/relationships/hyperlink" Target="mailto:Muhammadabdul.samad@outlook.com?bcc=6914917@bcc.hubspot.com" TargetMode="External"/><Relationship Id="rId917" Type="http://schemas.openxmlformats.org/officeDocument/2006/relationships/hyperlink" Target="mailto:sfg03@aub.edu.lb?bcc=6914917@bcc.hubspot.com" TargetMode="External"/><Relationship Id="rId916" Type="http://schemas.openxmlformats.org/officeDocument/2006/relationships/hyperlink" Target="mailto:oraib.bustami@hotmail.com?bcc=6914917@bcc.hubspot.com" TargetMode="External"/><Relationship Id="rId915" Type="http://schemas.openxmlformats.org/officeDocument/2006/relationships/hyperlink" Target="mailto:iyadent@hotmail.com?bcc=6914917@bcc.hubspot.com" TargetMode="External"/><Relationship Id="rId919" Type="http://schemas.openxmlformats.org/officeDocument/2006/relationships/hyperlink" Target="mailto:kinitamehta@gmail.com?bcc=6914917@bcc.hubspot.com" TargetMode="External"/><Relationship Id="rId910" Type="http://schemas.openxmlformats.org/officeDocument/2006/relationships/hyperlink" Target="mailto:abdulsalam4004@gmail.com?bcc=6914917@bcc.hubspot.com" TargetMode="External"/><Relationship Id="rId914" Type="http://schemas.openxmlformats.org/officeDocument/2006/relationships/hyperlink" Target="mailto:yinn@hotmail.com?bcc=6914917@bcc.hubspot.com" TargetMode="External"/><Relationship Id="rId913" Type="http://schemas.openxmlformats.org/officeDocument/2006/relationships/hyperlink" Target="mailto:karamss@hotmail.com?bcc=6914917@bcc.hubspot.com" TargetMode="External"/><Relationship Id="rId912" Type="http://schemas.openxmlformats.org/officeDocument/2006/relationships/hyperlink" Target="mailto:laxmannath00@gmail.com?bcc=6914917@bcc.hubspot.com" TargetMode="External"/><Relationship Id="rId911" Type="http://schemas.openxmlformats.org/officeDocument/2006/relationships/hyperlink" Target="mailto:gm4@sita-travel.net?bcc=6914917@bcc.hubspot.com" TargetMode="External"/><Relationship Id="rId1213" Type="http://schemas.openxmlformats.org/officeDocument/2006/relationships/hyperlink" Target="mailto:riyadh.k.o@hotmail.com?bcc=6914917@bcc.hubspot.com" TargetMode="External"/><Relationship Id="rId1214" Type="http://schemas.openxmlformats.org/officeDocument/2006/relationships/hyperlink" Target="mailto:awad-arg@hotmail.com?bcc=6914917@bcc.hubspot.com" TargetMode="External"/><Relationship Id="rId1215" Type="http://schemas.openxmlformats.org/officeDocument/2006/relationships/hyperlink" Target="mailto:hs.binsulaiman@gmail.com?bcc=6914917@bcc.hubspot.com" TargetMode="External"/><Relationship Id="rId1216" Type="http://schemas.openxmlformats.org/officeDocument/2006/relationships/hyperlink" Target="mailto:105wilsonpang@gmail.com?bcc=6914917@bcc.hubspot.com" TargetMode="External"/><Relationship Id="rId1217" Type="http://schemas.openxmlformats.org/officeDocument/2006/relationships/hyperlink" Target="mailto:calvinsin99@hotmail.com?bcc=6914917@bcc.hubspot.com" TargetMode="External"/><Relationship Id="rId1218" Type="http://schemas.openxmlformats.org/officeDocument/2006/relationships/hyperlink" Target="mailto:nshocair05@gmail.com?bcc=6914917@bcc.hubspot.com" TargetMode="External"/><Relationship Id="rId1219" Type="http://schemas.openxmlformats.org/officeDocument/2006/relationships/hyperlink" Target="mailto:chihalee0429@gmail.com?bcc=6914917@bcc.hubspot.com" TargetMode="External"/><Relationship Id="rId866" Type="http://schemas.openxmlformats.org/officeDocument/2006/relationships/hyperlink" Target="mailto:yassinkf@gmail.com?bcc=6914917@bcc.hubspot.com" TargetMode="External"/><Relationship Id="rId865" Type="http://schemas.openxmlformats.org/officeDocument/2006/relationships/hyperlink" Target="mailto:ibr05055m@gmail.com?bcc=6914917@bcc.hubspot.com" TargetMode="External"/><Relationship Id="rId864" Type="http://schemas.openxmlformats.org/officeDocument/2006/relationships/hyperlink" Target="mailto:faramzo121@gmail.com?bcc=6914917@bcc.hubspot.com" TargetMode="External"/><Relationship Id="rId863" Type="http://schemas.openxmlformats.org/officeDocument/2006/relationships/hyperlink" Target="mailto:tarekzeb@hotmail.com?bcc=6914917@bcc.hubspot.com" TargetMode="External"/><Relationship Id="rId869" Type="http://schemas.openxmlformats.org/officeDocument/2006/relationships/hyperlink" Target="mailto:mona@ves.ae?bcc=6914917@bcc.hubspot.com" TargetMode="External"/><Relationship Id="rId868" Type="http://schemas.openxmlformats.org/officeDocument/2006/relationships/hyperlink" Target="mailto:m61noor@yahoo.com?bcc=6914917@bcc.hubspot.com" TargetMode="External"/><Relationship Id="rId867" Type="http://schemas.openxmlformats.org/officeDocument/2006/relationships/hyperlink" Target="mailto:eyad.amarat@gmail.com?bcc=6914917@bcc.hubspot.com" TargetMode="External"/><Relationship Id="rId862" Type="http://schemas.openxmlformats.org/officeDocument/2006/relationships/hyperlink" Target="mailto:matthesketh1976@googlemail.com?bcc=6914917@bcc.hubspot.com" TargetMode="External"/><Relationship Id="rId861" Type="http://schemas.openxmlformats.org/officeDocument/2006/relationships/hyperlink" Target="mailto:l.alhumairi@gmail.com?bcc=6914917@bcc.hubspot.com" TargetMode="External"/><Relationship Id="rId1210" Type="http://schemas.openxmlformats.org/officeDocument/2006/relationships/hyperlink" Target="mailto:kullak7elow@yahoo.com?bcc=6914917@bcc.hubspot.com" TargetMode="External"/><Relationship Id="rId860" Type="http://schemas.openxmlformats.org/officeDocument/2006/relationships/hyperlink" Target="mailto:binbader@aol.com?bcc=6914917@bcc.hubspot.com" TargetMode="External"/><Relationship Id="rId1211" Type="http://schemas.openxmlformats.org/officeDocument/2006/relationships/hyperlink" Target="mailto:laugfhing6699@gmail.com?bcc=6914917@bcc.hubspot.com" TargetMode="External"/><Relationship Id="rId1212" Type="http://schemas.openxmlformats.org/officeDocument/2006/relationships/hyperlink" Target="mailto:fouad.zeidan@hotmail.com?bcc=6914917@bcc.hubspot.com" TargetMode="External"/><Relationship Id="rId1202" Type="http://schemas.openxmlformats.org/officeDocument/2006/relationships/hyperlink" Target="mailto:foz.sad.s@gmail.com?bcc=6914917@bcc.hubspot.com" TargetMode="External"/><Relationship Id="rId1203" Type="http://schemas.openxmlformats.org/officeDocument/2006/relationships/hyperlink" Target="mailto:zaheerko@yahoo.com?bcc=6914917@bcc.hubspot.com" TargetMode="External"/><Relationship Id="rId1204" Type="http://schemas.openxmlformats.org/officeDocument/2006/relationships/hyperlink" Target="mailto:ajaymishra.ib@gmail.com?bcc=6914917@bcc.hubspot.com" TargetMode="External"/><Relationship Id="rId1205" Type="http://schemas.openxmlformats.org/officeDocument/2006/relationships/hyperlink" Target="mailto:jihan.uae@gmail.com?bcc=6914917@bcc.hubspot.com" TargetMode="External"/><Relationship Id="rId1206" Type="http://schemas.openxmlformats.org/officeDocument/2006/relationships/hyperlink" Target="mailto:salamadv@gmail.com?bcc=6914917@bcc.hubspot.com" TargetMode="External"/><Relationship Id="rId1207" Type="http://schemas.openxmlformats.org/officeDocument/2006/relationships/hyperlink" Target="mailto:yabbasitain@gmail.com?bcc=6914917@bcc.hubspot.com" TargetMode="External"/><Relationship Id="rId1208" Type="http://schemas.openxmlformats.org/officeDocument/2006/relationships/hyperlink" Target="mailto:huhu@hotmail.com?bcc=6914917@bcc.hubspot.com" TargetMode="External"/><Relationship Id="rId1209" Type="http://schemas.openxmlformats.org/officeDocument/2006/relationships/hyperlink" Target="mailto:anamincic@hotmail.com?bcc=6914917@bcc.hubspot.com" TargetMode="External"/><Relationship Id="rId855" Type="http://schemas.openxmlformats.org/officeDocument/2006/relationships/hyperlink" Target="mailto:noumy91@hotmail.com?bcc=6914917@bcc.hubspot.com" TargetMode="External"/><Relationship Id="rId854" Type="http://schemas.openxmlformats.org/officeDocument/2006/relationships/hyperlink" Target="mailto:muheebodah@yahoo.com?bcc=6914917@bcc.hubspot.com" TargetMode="External"/><Relationship Id="rId853" Type="http://schemas.openxmlformats.org/officeDocument/2006/relationships/hyperlink" Target="mailto:osama@scale-emw.net?bcc=6914917@bcc.hubspot.com" TargetMode="External"/><Relationship Id="rId852" Type="http://schemas.openxmlformats.org/officeDocument/2006/relationships/hyperlink" Target="mailto:mooshatianas@gmail.com?bcc=6914917@bcc.hubspot.com" TargetMode="External"/><Relationship Id="rId859" Type="http://schemas.openxmlformats.org/officeDocument/2006/relationships/hyperlink" Target="mailto:eng_tareq@yahoo.com?bcc=6914917@bcc.hubspot.com" TargetMode="External"/><Relationship Id="rId858" Type="http://schemas.openxmlformats.org/officeDocument/2006/relationships/hyperlink" Target="mailto:rasha.alaileh@gmail.com?bcc=6914917@bcc.hubspot.com" TargetMode="External"/><Relationship Id="rId857" Type="http://schemas.openxmlformats.org/officeDocument/2006/relationships/hyperlink" Target="mailto:bissan.k@hotmail.com?bcc=6914917@bcc.hubspot.com" TargetMode="External"/><Relationship Id="rId856" Type="http://schemas.openxmlformats.org/officeDocument/2006/relationships/hyperlink" Target="mailto:hakimyjubail@yahoo.com?bcc=6914917@bcc.hubspot.com" TargetMode="External"/><Relationship Id="rId851" Type="http://schemas.openxmlformats.org/officeDocument/2006/relationships/hyperlink" Target="mailto:J.kassouma@gmail.com?bcc=6914917@bcc.hubspot.com" TargetMode="External"/><Relationship Id="rId850" Type="http://schemas.openxmlformats.org/officeDocument/2006/relationships/hyperlink" Target="mailto:dinaboulos@gmail.com?bcc=6914917@bcc.hubspot.com" TargetMode="External"/><Relationship Id="rId1200" Type="http://schemas.openxmlformats.org/officeDocument/2006/relationships/hyperlink" Target="mailto:zafarsabri1972@gmail.com?bcc=6914917@bcc.hubspot.com" TargetMode="External"/><Relationship Id="rId1201" Type="http://schemas.openxmlformats.org/officeDocument/2006/relationships/hyperlink" Target="mailto:www.yatho@yahoo.com?bcc=6914917@bcc.hubspot.com" TargetMode="External"/><Relationship Id="rId1235" Type="http://schemas.openxmlformats.org/officeDocument/2006/relationships/hyperlink" Target="mailto:jdassan@hotmail.com?bcc=6914917@bcc.hubspot.com" TargetMode="External"/><Relationship Id="rId1236" Type="http://schemas.openxmlformats.org/officeDocument/2006/relationships/hyperlink" Target="mailto:ahmad.sarah1956@gmail.com?bcc=6914917@bcc.hubspot.com" TargetMode="External"/><Relationship Id="rId1237" Type="http://schemas.openxmlformats.org/officeDocument/2006/relationships/hyperlink" Target="mailto:sak2205@yahoo.com?bcc=6914917@bcc.hubspot.com" TargetMode="External"/><Relationship Id="rId1238" Type="http://schemas.openxmlformats.org/officeDocument/2006/relationships/hyperlink" Target="mailto:leabenjames@gmail.com?bcc=6914917@bcc.hubspot.com" TargetMode="External"/><Relationship Id="rId1239" Type="http://schemas.openxmlformats.org/officeDocument/2006/relationships/hyperlink" Target="mailto:gary_yeung@hotmail.com?bcc=6914917@bcc.hubspot.com" TargetMode="External"/><Relationship Id="rId409" Type="http://schemas.openxmlformats.org/officeDocument/2006/relationships/hyperlink" Target="mailto:ranaali14@hotmail.com?bcc=6914917@bcc.hubspot.com" TargetMode="External"/><Relationship Id="rId404" Type="http://schemas.openxmlformats.org/officeDocument/2006/relationships/hyperlink" Target="mailto:Helgaalfredschmalz@gmail.com?bcc=6914917@bcc.hubspot.com" TargetMode="External"/><Relationship Id="rId888" Type="http://schemas.openxmlformats.org/officeDocument/2006/relationships/hyperlink" Target="mailto:anas@mhjheavyequipment.com?bcc=6914917@bcc.hubspot.com" TargetMode="External"/><Relationship Id="rId403" Type="http://schemas.openxmlformats.org/officeDocument/2006/relationships/hyperlink" Target="mailto:assadullah.rasooli@ar-intl.net?bcc=6914917@bcc.hubspot.com" TargetMode="External"/><Relationship Id="rId887" Type="http://schemas.openxmlformats.org/officeDocument/2006/relationships/hyperlink" Target="mailto:zabbas64jb@gmail.com?bcc=6914917@bcc.hubspot.com" TargetMode="External"/><Relationship Id="rId402" Type="http://schemas.openxmlformats.org/officeDocument/2006/relationships/hyperlink" Target="mailto:anmolmathur827@gmail.com?bcc=6914917@bcc.hubspot.com" TargetMode="External"/><Relationship Id="rId886" Type="http://schemas.openxmlformats.org/officeDocument/2006/relationships/hyperlink" Target="mailto:amshaalharbi73@gmail.com?bcc=6914917@bcc.hubspot.com" TargetMode="External"/><Relationship Id="rId401" Type="http://schemas.openxmlformats.org/officeDocument/2006/relationships/hyperlink" Target="mailto:nejilashani@gmail.com?bcc=6914917@bcc.hubspot.com" TargetMode="External"/><Relationship Id="rId885" Type="http://schemas.openxmlformats.org/officeDocument/2006/relationships/hyperlink" Target="mailto:khanshoaib011@gmail.com?bcc=6914917@bcc.hubspot.com" TargetMode="External"/><Relationship Id="rId408" Type="http://schemas.openxmlformats.org/officeDocument/2006/relationships/hyperlink" Target="mailto:snigdha.julie@gmail.com?bcc=6914917@bcc.hubspot.com" TargetMode="External"/><Relationship Id="rId407" Type="http://schemas.openxmlformats.org/officeDocument/2006/relationships/hyperlink" Target="mailto:aspire_me@live.com?bcc=6914917@bcc.hubspot.com" TargetMode="External"/><Relationship Id="rId406" Type="http://schemas.openxmlformats.org/officeDocument/2006/relationships/hyperlink" Target="mailto:Helgaalfredschmalz@gmail.com?bcc=6914917@bcc.hubspot.com" TargetMode="External"/><Relationship Id="rId405" Type="http://schemas.openxmlformats.org/officeDocument/2006/relationships/hyperlink" Target="mailto:sarahmajdi@hotmail.com?bcc=6914917@bcc.hubspot.com" TargetMode="External"/><Relationship Id="rId889" Type="http://schemas.openxmlformats.org/officeDocument/2006/relationships/hyperlink" Target="mailto:bintezahra14@hotmail.com?bcc=6914917@bcc.hubspot.com" TargetMode="External"/><Relationship Id="rId880" Type="http://schemas.openxmlformats.org/officeDocument/2006/relationships/hyperlink" Target="mailto:soula.hashwa@yahoo.com?bcc=6914917@bcc.hubspot.com" TargetMode="External"/><Relationship Id="rId1230" Type="http://schemas.openxmlformats.org/officeDocument/2006/relationships/hyperlink" Target="mailto:ayiesha666almnhil@gmail.com?bcc=6914917@bcc.hubspot.com" TargetMode="External"/><Relationship Id="rId400" Type="http://schemas.openxmlformats.org/officeDocument/2006/relationships/hyperlink" Target="mailto:anand_bicky@hotmail.com?bcc=6914917@bcc.hubspot.com" TargetMode="External"/><Relationship Id="rId884" Type="http://schemas.openxmlformats.org/officeDocument/2006/relationships/hyperlink" Target="mailto:wad.592@hotmail.com?bcc=6914917@bcc.hubspot.com" TargetMode="External"/><Relationship Id="rId1231" Type="http://schemas.openxmlformats.org/officeDocument/2006/relationships/hyperlink" Target="mailto:saeedsalemsr@hotmail.com?bcc=6914917@bcc.hubspot.com" TargetMode="External"/><Relationship Id="rId883" Type="http://schemas.openxmlformats.org/officeDocument/2006/relationships/hyperlink" Target="mailto:dear.namrata@gmail.com?bcc=6914917@bcc.hubspot.com" TargetMode="External"/><Relationship Id="rId1232" Type="http://schemas.openxmlformats.org/officeDocument/2006/relationships/hyperlink" Target="mailto:shahulm78@gmail.com?bcc=6914917@bcc.hubspot.com" TargetMode="External"/><Relationship Id="rId882" Type="http://schemas.openxmlformats.org/officeDocument/2006/relationships/hyperlink" Target="mailto:mehulraichura@gmail.com?bcc=6914917@bcc.hubspot.com" TargetMode="External"/><Relationship Id="rId1233" Type="http://schemas.openxmlformats.org/officeDocument/2006/relationships/hyperlink" Target="mailto:sak84@hotmail.com?bcc=6914917@bcc.hubspot.com" TargetMode="External"/><Relationship Id="rId881" Type="http://schemas.openxmlformats.org/officeDocument/2006/relationships/hyperlink" Target="mailto:sh40@cornell.edu?bcc=6914917@bcc.hubspot.com" TargetMode="External"/><Relationship Id="rId1234" Type="http://schemas.openxmlformats.org/officeDocument/2006/relationships/hyperlink" Target="mailto:chiffi_m@yahoo.com?bcc=6914917@bcc.hubspot.com" TargetMode="External"/><Relationship Id="rId1224" Type="http://schemas.openxmlformats.org/officeDocument/2006/relationships/hyperlink" Target="mailto:zeid.saeed555@gmail.com?bcc=6914917@bcc.hubspot.com" TargetMode="External"/><Relationship Id="rId1225" Type="http://schemas.openxmlformats.org/officeDocument/2006/relationships/hyperlink" Target="mailto:drabeerafaizal@yahoo.com?bcc=6914917@bcc.hubspot.com" TargetMode="External"/><Relationship Id="rId1226" Type="http://schemas.openxmlformats.org/officeDocument/2006/relationships/hyperlink" Target="mailto:tarek.kaddoymi@gmail.com?bcc=6914917@bcc.hubspot.com" TargetMode="External"/><Relationship Id="rId1227" Type="http://schemas.openxmlformats.org/officeDocument/2006/relationships/hyperlink" Target="mailto:sami_syed@hotmail.com?bcc=6914917@bcc.hubspot.com" TargetMode="External"/><Relationship Id="rId1228" Type="http://schemas.openxmlformats.org/officeDocument/2006/relationships/hyperlink" Target="mailto:yassinamal@gmail.com?bcc=6914917@bcc.hubspot.com" TargetMode="External"/><Relationship Id="rId1229" Type="http://schemas.openxmlformats.org/officeDocument/2006/relationships/hyperlink" Target="mailto:omar@nrtcgroup.com?bcc=6914917@bcc.hubspot.com" TargetMode="External"/><Relationship Id="rId877" Type="http://schemas.openxmlformats.org/officeDocument/2006/relationships/hyperlink" Target="mailto:monaozwa@gmail.com?bcc=6914917@bcc.hubspot.com" TargetMode="External"/><Relationship Id="rId876" Type="http://schemas.openxmlformats.org/officeDocument/2006/relationships/hyperlink" Target="mailto:omarbhat12@gmail.com?bcc=6914917@bcc.hubspot.com" TargetMode="External"/><Relationship Id="rId875" Type="http://schemas.openxmlformats.org/officeDocument/2006/relationships/hyperlink" Target="mailto:yamina.benhari@gmail.com?bcc=6914917@bcc.hubspot.com" TargetMode="External"/><Relationship Id="rId874" Type="http://schemas.openxmlformats.org/officeDocument/2006/relationships/hyperlink" Target="mailto:Loai_s_s@hotmail.com?bcc=6914917@bcc.hubspot.com" TargetMode="External"/><Relationship Id="rId879" Type="http://schemas.openxmlformats.org/officeDocument/2006/relationships/hyperlink" Target="mailto:neha02sharma@yahoo.com?bcc=6914917@bcc.hubspot.com" TargetMode="External"/><Relationship Id="rId878" Type="http://schemas.openxmlformats.org/officeDocument/2006/relationships/hyperlink" Target="mailto:beerelnahal@hotmail.com?bcc=6914917@bcc.hubspot.com" TargetMode="External"/><Relationship Id="rId873" Type="http://schemas.openxmlformats.org/officeDocument/2006/relationships/hyperlink" Target="mailto:abu_hmaid111@hotmail.com?bcc=6914917@bcc.hubspot.com" TargetMode="External"/><Relationship Id="rId1220" Type="http://schemas.openxmlformats.org/officeDocument/2006/relationships/hyperlink" Target="mailto:owopetu8@gmail.com?bcc=6914917@bcc.hubspot.com" TargetMode="External"/><Relationship Id="rId872" Type="http://schemas.openxmlformats.org/officeDocument/2006/relationships/hyperlink" Target="mailto:ahmed_mahfouzz@hotmail.com?bcc=6914917@bcc.hubspot.com" TargetMode="External"/><Relationship Id="rId1221" Type="http://schemas.openxmlformats.org/officeDocument/2006/relationships/hyperlink" Target="mailto:tabz_m@hotmail.com?bcc=6914917@bcc.hubspot.com" TargetMode="External"/><Relationship Id="rId871" Type="http://schemas.openxmlformats.org/officeDocument/2006/relationships/hyperlink" Target="mailto:samehselim2003@yahoo.com?bcc=6914917@bcc.hubspot.com" TargetMode="External"/><Relationship Id="rId1222" Type="http://schemas.openxmlformats.org/officeDocument/2006/relationships/hyperlink" Target="mailto:rabab_alrayes1@hotmail.com?bcc=6914917@bcc.hubspot.com" TargetMode="External"/><Relationship Id="rId870" Type="http://schemas.openxmlformats.org/officeDocument/2006/relationships/hyperlink" Target="mailto:Haithamseif@gmail.com?bcc=6914917@bcc.hubspot.com" TargetMode="External"/><Relationship Id="rId1223" Type="http://schemas.openxmlformats.org/officeDocument/2006/relationships/hyperlink" Target="mailto:akammad@gmail.com?bcc=6914917@bcc.hubspot.com" TargetMode="External"/><Relationship Id="rId829" Type="http://schemas.openxmlformats.org/officeDocument/2006/relationships/hyperlink" Target="mailto:ahmadhtaha9@gmail.com?bcc=6914917@bcc.hubspot.com" TargetMode="External"/><Relationship Id="rId828" Type="http://schemas.openxmlformats.org/officeDocument/2006/relationships/hyperlink" Target="mailto:hatemhasoon@gmial.com?bcc=6914917@bcc.hubspot.com" TargetMode="External"/><Relationship Id="rId827" Type="http://schemas.openxmlformats.org/officeDocument/2006/relationships/hyperlink" Target="mailto:john_sunil@hotmail.com?bcc=6914917@bcc.hubspot.com" TargetMode="External"/><Relationship Id="rId822" Type="http://schemas.openxmlformats.org/officeDocument/2006/relationships/hyperlink" Target="mailto:khalid-amin@live.com?bcc=6914917@bcc.hubspot.com" TargetMode="External"/><Relationship Id="rId821" Type="http://schemas.openxmlformats.org/officeDocument/2006/relationships/hyperlink" Target="mailto:khalileid214@gmail.com?bcc=6914917@bcc.hubspot.com" TargetMode="External"/><Relationship Id="rId820" Type="http://schemas.openxmlformats.org/officeDocument/2006/relationships/hyperlink" Target="mailto:mmuganyizi@gmail.com?bcc=6914917@bcc.hubspot.com" TargetMode="External"/><Relationship Id="rId826" Type="http://schemas.openxmlformats.org/officeDocument/2006/relationships/hyperlink" Target="mailto:aaiaa1977ndc@gmail.com?bcc=6914917@bcc.hubspot.com" TargetMode="External"/><Relationship Id="rId825" Type="http://schemas.openxmlformats.org/officeDocument/2006/relationships/hyperlink" Target="mailto:aliganai@yahoo.co.in?bcc=6914917@bcc.hubspot.com" TargetMode="External"/><Relationship Id="rId824" Type="http://schemas.openxmlformats.org/officeDocument/2006/relationships/hyperlink" Target="mailto:sami@ajmanmarkets.ae?bcc=6914917@bcc.hubspot.com" TargetMode="External"/><Relationship Id="rId823" Type="http://schemas.openxmlformats.org/officeDocument/2006/relationships/hyperlink" Target="mailto:imad@safelinegc.com?bcc=6914917@bcc.hubspot.com" TargetMode="External"/><Relationship Id="rId819" Type="http://schemas.openxmlformats.org/officeDocument/2006/relationships/hyperlink" Target="mailto:bassamkahaleh@gmail.com?bcc=6914917@bcc.hubspot.com" TargetMode="External"/><Relationship Id="rId818" Type="http://schemas.openxmlformats.org/officeDocument/2006/relationships/hyperlink" Target="mailto:eiliiamossad1@gmail.com?bcc=6914917@bcc.hubspot.com" TargetMode="External"/><Relationship Id="rId817" Type="http://schemas.openxmlformats.org/officeDocument/2006/relationships/hyperlink" Target="mailto:benamro39@gmail.com?bcc=6914917@bcc.hubspot.com" TargetMode="External"/><Relationship Id="rId816" Type="http://schemas.openxmlformats.org/officeDocument/2006/relationships/hyperlink" Target="mailto:waelradi82@yahoo.com?bcc=6914917@bcc.hubspot.com" TargetMode="External"/><Relationship Id="rId811" Type="http://schemas.openxmlformats.org/officeDocument/2006/relationships/hyperlink" Target="mailto:ahmedabozid80@gmail.com?bcc=6914917@bcc.hubspot.com" TargetMode="External"/><Relationship Id="rId810" Type="http://schemas.openxmlformats.org/officeDocument/2006/relationships/hyperlink" Target="mailto:osaleh999@gmail.com?bcc=6914917@bcc.hubspot.com" TargetMode="External"/><Relationship Id="rId815" Type="http://schemas.openxmlformats.org/officeDocument/2006/relationships/hyperlink" Target="mailto:dhananjay.agarwal@hotmail.com?bcc=6914917@bcc.hubspot.com" TargetMode="External"/><Relationship Id="rId814" Type="http://schemas.openxmlformats.org/officeDocument/2006/relationships/hyperlink" Target="mailto:bahabukhait@gmail.com?bcc=6914917@bcc.hubspot.com" TargetMode="External"/><Relationship Id="rId813" Type="http://schemas.openxmlformats.org/officeDocument/2006/relationships/hyperlink" Target="mailto:nataliasahin@gmail.com?bcc=6914917@bcc.hubspot.com" TargetMode="External"/><Relationship Id="rId812" Type="http://schemas.openxmlformats.org/officeDocument/2006/relationships/hyperlink" Target="mailto:vaseemkhan.vk32@gmail.com?bcc=6914917@bcc.hubspot.com" TargetMode="External"/><Relationship Id="rId849" Type="http://schemas.openxmlformats.org/officeDocument/2006/relationships/hyperlink" Target="mailto:ali.syedmasood@gmail.com?bcc=6914917@bcc.hubspot.com" TargetMode="External"/><Relationship Id="rId844" Type="http://schemas.openxmlformats.org/officeDocument/2006/relationships/hyperlink" Target="mailto:Mumu9111@yahoo.com?bcc=6914917@bcc.hubspot.com" TargetMode="External"/><Relationship Id="rId843" Type="http://schemas.openxmlformats.org/officeDocument/2006/relationships/hyperlink" Target="mailto:mounir_taleb@hotmail.com?bcc=6914917@bcc.hubspot.com" TargetMode="External"/><Relationship Id="rId842" Type="http://schemas.openxmlformats.org/officeDocument/2006/relationships/hyperlink" Target="mailto:adeebmalayil@gmail.com?bcc=6914917@bcc.hubspot.com" TargetMode="External"/><Relationship Id="rId841" Type="http://schemas.openxmlformats.org/officeDocument/2006/relationships/hyperlink" Target="mailto:mmahmoud@ega.ae?bcc=6914917@bcc.hubspot.com" TargetMode="External"/><Relationship Id="rId848" Type="http://schemas.openxmlformats.org/officeDocument/2006/relationships/hyperlink" Target="mailto:gm@ayavagroup.com?bcc=6914917@bcc.hubspot.com" TargetMode="External"/><Relationship Id="rId847" Type="http://schemas.openxmlformats.org/officeDocument/2006/relationships/hyperlink" Target="mailto:maged.hamoud9@gmail.com?bcc=6914917@bcc.hubspot.com" TargetMode="External"/><Relationship Id="rId846" Type="http://schemas.openxmlformats.org/officeDocument/2006/relationships/hyperlink" Target="mailto:lamarahma3@yahoo.com?bcc=6914917@bcc.hubspot.com" TargetMode="External"/><Relationship Id="rId845" Type="http://schemas.openxmlformats.org/officeDocument/2006/relationships/hyperlink" Target="mailto:eng.md.elbaz12@gmail.com?bcc=6914917@bcc.hubspot.com" TargetMode="External"/><Relationship Id="rId840" Type="http://schemas.openxmlformats.org/officeDocument/2006/relationships/hyperlink" Target="mailto:alrwasy1111@gmail.com?bcc=6914917@bcc.hubspot.com" TargetMode="External"/><Relationship Id="rId839" Type="http://schemas.openxmlformats.org/officeDocument/2006/relationships/hyperlink" Target="mailto:shadyazmy@hotmail.com?bcc=6914917@bcc.hubspot.com" TargetMode="External"/><Relationship Id="rId838" Type="http://schemas.openxmlformats.org/officeDocument/2006/relationships/hyperlink" Target="mailto:mostafaomar1971@gmail.com?bcc=6914917@bcc.hubspot.com" TargetMode="External"/><Relationship Id="rId833" Type="http://schemas.openxmlformats.org/officeDocument/2006/relationships/hyperlink" Target="mailto:farahrabaa9@gmail.com?bcc=6914917@bcc.hubspot.com" TargetMode="External"/><Relationship Id="rId832" Type="http://schemas.openxmlformats.org/officeDocument/2006/relationships/hyperlink" Target="mailto:moutasimx@gmail.com?bcc=6914917@bcc.hubspot.com" TargetMode="External"/><Relationship Id="rId831" Type="http://schemas.openxmlformats.org/officeDocument/2006/relationships/hyperlink" Target="mailto:ramiz.empee@gmail.com?bcc=6914917@bcc.hubspot.com" TargetMode="External"/><Relationship Id="rId830" Type="http://schemas.openxmlformats.org/officeDocument/2006/relationships/hyperlink" Target="mailto:k-kinaan@hotmail.com?bcc=6914917@bcc.hubspot.com" TargetMode="External"/><Relationship Id="rId837" Type="http://schemas.openxmlformats.org/officeDocument/2006/relationships/hyperlink" Target="mailto:laurajabbour@gmail.com?bcc=6914917@bcc.hubspot.com" TargetMode="External"/><Relationship Id="rId836" Type="http://schemas.openxmlformats.org/officeDocument/2006/relationships/hyperlink" Target="mailto:pradeepnag20@gmail.com?bcc=6914917@bcc.hubspot.com" TargetMode="External"/><Relationship Id="rId835" Type="http://schemas.openxmlformats.org/officeDocument/2006/relationships/hyperlink" Target="mailto:robscotty@hotmail.com?bcc=6914917@bcc.hubspot.com" TargetMode="External"/><Relationship Id="rId834" Type="http://schemas.openxmlformats.org/officeDocument/2006/relationships/hyperlink" Target="mailto:ahd_alshaheen@yahoo.com?bcc=6914917@bcc.hubspot.com" TargetMode="External"/><Relationship Id="rId469" Type="http://schemas.openxmlformats.org/officeDocument/2006/relationships/hyperlink" Target="mailto:vjsat9@gmail.com?bcc=6914917@bcc.hubspot.com" TargetMode="External"/><Relationship Id="rId468" Type="http://schemas.openxmlformats.org/officeDocument/2006/relationships/hyperlink" Target="mailto:chaiglobal@gmail.com?bcc=6914917@bcc.hubspot.com" TargetMode="External"/><Relationship Id="rId467" Type="http://schemas.openxmlformats.org/officeDocument/2006/relationships/hyperlink" Target="mailto:Shazianaqvi476@gmail.com?bcc=6914917@bcc.hubspot.com" TargetMode="External"/><Relationship Id="rId1290" Type="http://schemas.openxmlformats.org/officeDocument/2006/relationships/hyperlink" Target="mailto:howdyhai2000@yahoo.com?bcc=6914917@bcc.hubspot.com" TargetMode="External"/><Relationship Id="rId1291" Type="http://schemas.openxmlformats.org/officeDocument/2006/relationships/hyperlink" Target="mailto:sh-f-q@hotmail.com?bcc=6914917@bcc.hubspot.com" TargetMode="External"/><Relationship Id="rId1292" Type="http://schemas.openxmlformats.org/officeDocument/2006/relationships/hyperlink" Target="mailto:graceton@aol.com?bcc=6914917@bcc.hubspot.com" TargetMode="External"/><Relationship Id="rId462" Type="http://schemas.openxmlformats.org/officeDocument/2006/relationships/hyperlink" Target="mailto:nawab777k@yahoo.com?bcc=6914917@bcc.hubspot.com" TargetMode="External"/><Relationship Id="rId1293" Type="http://schemas.openxmlformats.org/officeDocument/2006/relationships/hyperlink" Target="mailto:vestal40@hotmail.com?bcc=6914917@bcc.hubspot.com" TargetMode="External"/><Relationship Id="rId461" Type="http://schemas.openxmlformats.org/officeDocument/2006/relationships/hyperlink" Target="mailto:abdula.alawadi@gmail.com?bcc=6914917@bcc.hubspot.com" TargetMode="External"/><Relationship Id="rId1294" Type="http://schemas.openxmlformats.org/officeDocument/2006/relationships/hyperlink" Target="mailto:umhamad445@gmail.com?bcc=6914917@bcc.hubspot.com" TargetMode="External"/><Relationship Id="rId460" Type="http://schemas.openxmlformats.org/officeDocument/2006/relationships/hyperlink" Target="mailto:himanshuginni.hs@gmail.com?bcc=6914917@bcc.hubspot.com" TargetMode="External"/><Relationship Id="rId1295" Type="http://schemas.openxmlformats.org/officeDocument/2006/relationships/hyperlink" Target="mailto:a.alhasan89@gmail.com?bcc=6914917@bcc.hubspot.com" TargetMode="External"/><Relationship Id="rId1296" Type="http://schemas.openxmlformats.org/officeDocument/2006/relationships/hyperlink" Target="mailto:fais4204life@icloud.com?bcc=6914917@bcc.hubspot.com" TargetMode="External"/><Relationship Id="rId466" Type="http://schemas.openxmlformats.org/officeDocument/2006/relationships/hyperlink" Target="mailto:shadi076@hotmail.com?bcc=6914917@bcc.hubspot.com" TargetMode="External"/><Relationship Id="rId1297" Type="http://schemas.openxmlformats.org/officeDocument/2006/relationships/hyperlink" Target="mailto:saidrahaman58@gmail.com?bcc=6914917@bcc.hubspot.com" TargetMode="External"/><Relationship Id="rId465" Type="http://schemas.openxmlformats.org/officeDocument/2006/relationships/hyperlink" Target="mailto:2000pilot@gmail.com?bcc=6914917@bcc.hubspot.com" TargetMode="External"/><Relationship Id="rId1298" Type="http://schemas.openxmlformats.org/officeDocument/2006/relationships/hyperlink" Target="mailto:catfollowmope@yahoo.com?bcc=6914917@bcc.hubspot.com" TargetMode="External"/><Relationship Id="rId464" Type="http://schemas.openxmlformats.org/officeDocument/2006/relationships/hyperlink" Target="mailto:mahgoub9240@gmail.com?bcc=6914917@bcc.hubspot.com" TargetMode="External"/><Relationship Id="rId1299" Type="http://schemas.openxmlformats.org/officeDocument/2006/relationships/hyperlink" Target="mailto:salem.h.alameri@hotmail.com?bcc=6914917@bcc.hubspot.com" TargetMode="External"/><Relationship Id="rId463" Type="http://schemas.openxmlformats.org/officeDocument/2006/relationships/hyperlink" Target="mailto:rashooduaq334@gmial.com?bcc=6914917@bcc.hubspot.com" TargetMode="External"/><Relationship Id="rId459" Type="http://schemas.openxmlformats.org/officeDocument/2006/relationships/hyperlink" Target="mailto:sunita.maheshwari@gmail.com?bcc=6914917@bcc.hubspot.com" TargetMode="External"/><Relationship Id="rId458" Type="http://schemas.openxmlformats.org/officeDocument/2006/relationships/hyperlink" Target="mailto:xyz9090@yahoo.con?bcc=6914917@bcc.hubspot.com" TargetMode="External"/><Relationship Id="rId457" Type="http://schemas.openxmlformats.org/officeDocument/2006/relationships/hyperlink" Target="mailto:abdelaziz.alraeesi@yahoo.com?bcc=6914917@bcc.hubspot.com" TargetMode="External"/><Relationship Id="rId456" Type="http://schemas.openxmlformats.org/officeDocument/2006/relationships/hyperlink" Target="mailto:simonleiper@hotmail.com?bcc=6914917@bcc.hubspot.com" TargetMode="External"/><Relationship Id="rId1280" Type="http://schemas.openxmlformats.org/officeDocument/2006/relationships/hyperlink" Target="mailto:ismail.sidiya@gmail.com?bcc=6914917@bcc.hubspot.com" TargetMode="External"/><Relationship Id="rId1281" Type="http://schemas.openxmlformats.org/officeDocument/2006/relationships/hyperlink" Target="mailto:iamsaudin@gmail.com?bcc=6914917@bcc.hubspot.com" TargetMode="External"/><Relationship Id="rId451" Type="http://schemas.openxmlformats.org/officeDocument/2006/relationships/hyperlink" Target="mailto:mustafamadi1@hotmail.com?bcc=6914917@bcc.hubspot.com" TargetMode="External"/><Relationship Id="rId1282" Type="http://schemas.openxmlformats.org/officeDocument/2006/relationships/hyperlink" Target="mailto:safeerart1@gmail.com?bcc=6914917@bcc.hubspot.com" TargetMode="External"/><Relationship Id="rId450" Type="http://schemas.openxmlformats.org/officeDocument/2006/relationships/hyperlink" Target="mailto:amaalalruhaiman@gmail.com?bcc=6914917@bcc.hubspot.com" TargetMode="External"/><Relationship Id="rId1283" Type="http://schemas.openxmlformats.org/officeDocument/2006/relationships/hyperlink" Target="mailto:faycal.aouij@yahoo.fr?bcc=6914917@bcc.hubspot.com" TargetMode="External"/><Relationship Id="rId1284" Type="http://schemas.openxmlformats.org/officeDocument/2006/relationships/hyperlink" Target="mailto:mnoufel@slt-g.com?bcc=6914917@bcc.hubspot.com" TargetMode="External"/><Relationship Id="rId1285" Type="http://schemas.openxmlformats.org/officeDocument/2006/relationships/hyperlink" Target="mailto:hennajaya12@gmail.com?bcc=6914917@bcc.hubspot.com" TargetMode="External"/><Relationship Id="rId455" Type="http://schemas.openxmlformats.org/officeDocument/2006/relationships/hyperlink" Target="mailto:fahdwaseem@gmail.com?bcc=6914917@bcc.hubspot.com" TargetMode="External"/><Relationship Id="rId1286" Type="http://schemas.openxmlformats.org/officeDocument/2006/relationships/hyperlink" Target="mailto:shabfar2010@gmail.com?bcc=6914917@bcc.hubspot.com" TargetMode="External"/><Relationship Id="rId454" Type="http://schemas.openxmlformats.org/officeDocument/2006/relationships/hyperlink" Target="mailto:akhtar@iwiregroup.com?bcc=6914917@bcc.hubspot.com" TargetMode="External"/><Relationship Id="rId1287" Type="http://schemas.openxmlformats.org/officeDocument/2006/relationships/hyperlink" Target="mailto:jpayal2000@yahoo.com?bcc=6914917@bcc.hubspot.com" TargetMode="External"/><Relationship Id="rId453" Type="http://schemas.openxmlformats.org/officeDocument/2006/relationships/hyperlink" Target="mailto:rimlasyeda@gmail.com?bcc=6914917@bcc.hubspot.com" TargetMode="External"/><Relationship Id="rId1288" Type="http://schemas.openxmlformats.org/officeDocument/2006/relationships/hyperlink" Target="mailto:majdi.al@hotmail.com?bcc=6914917@bcc.hubspot.com" TargetMode="External"/><Relationship Id="rId452" Type="http://schemas.openxmlformats.org/officeDocument/2006/relationships/hyperlink" Target="mailto:stoupin@mail.ru?bcc=6914917@bcc.hubspot.com" TargetMode="External"/><Relationship Id="rId1289" Type="http://schemas.openxmlformats.org/officeDocument/2006/relationships/hyperlink" Target="mailto:olaaboud@hotmail.com?bcc=6914917@bcc.hubspot.com" TargetMode="External"/><Relationship Id="rId491" Type="http://schemas.openxmlformats.org/officeDocument/2006/relationships/hyperlink" Target="mailto:ghunaimahmed5909@gmail.com?bcc=6914917@bcc.hubspot.com" TargetMode="External"/><Relationship Id="rId490" Type="http://schemas.openxmlformats.org/officeDocument/2006/relationships/hyperlink" Target="mailto:nahyan@wiecco.com?bcc=6914917@bcc.hubspot.com" TargetMode="External"/><Relationship Id="rId489" Type="http://schemas.openxmlformats.org/officeDocument/2006/relationships/hyperlink" Target="mailto:marriam_alamy@yahoo.com?bcc=6914917@bcc.hubspot.com" TargetMode="External"/><Relationship Id="rId484" Type="http://schemas.openxmlformats.org/officeDocument/2006/relationships/hyperlink" Target="mailto:fatima-ghafli@hotmail.com?bcc=6914917@bcc.hubspot.com" TargetMode="External"/><Relationship Id="rId483" Type="http://schemas.openxmlformats.org/officeDocument/2006/relationships/hyperlink" Target="mailto:redouane.haddadji@gmail.com?bcc=6914917@bcc.hubspot.com" TargetMode="External"/><Relationship Id="rId482" Type="http://schemas.openxmlformats.org/officeDocument/2006/relationships/hyperlink" Target="mailto:poojachhabria@hotmail.com?bcc=6914917@bcc.hubspot.com" TargetMode="External"/><Relationship Id="rId481" Type="http://schemas.openxmlformats.org/officeDocument/2006/relationships/hyperlink" Target="mailto:hassantarig222@gmail.com?bcc=6914917@bcc.hubspot.com" TargetMode="External"/><Relationship Id="rId488" Type="http://schemas.openxmlformats.org/officeDocument/2006/relationships/hyperlink" Target="mailto:m.sunner@hotmail.co.uk?bcc=6914917@bcc.hubspot.com" TargetMode="External"/><Relationship Id="rId487" Type="http://schemas.openxmlformats.org/officeDocument/2006/relationships/hyperlink" Target="mailto:vijshetty@gmail.com?bcc=6914917@bcc.hubspot.com" TargetMode="External"/><Relationship Id="rId486" Type="http://schemas.openxmlformats.org/officeDocument/2006/relationships/hyperlink" Target="mailto:kevish2007@gmail.com?bcc=6914917@bcc.hubspot.com" TargetMode="External"/><Relationship Id="rId485" Type="http://schemas.openxmlformats.org/officeDocument/2006/relationships/hyperlink" Target="mailto:tariq.obaid@mubarak.ae?bcc=6914917@bcc.hubspot.com" TargetMode="External"/><Relationship Id="rId480" Type="http://schemas.openxmlformats.org/officeDocument/2006/relationships/hyperlink" Target="mailto:qbd1@hotmail.com?bcc=6914917@bcc.hubspot.com" TargetMode="External"/><Relationship Id="rId479" Type="http://schemas.openxmlformats.org/officeDocument/2006/relationships/hyperlink" Target="mailto:uzma.nadeem@yahoo.com?bcc=6914917@bcc.hubspot.com" TargetMode="External"/><Relationship Id="rId478" Type="http://schemas.openxmlformats.org/officeDocument/2006/relationships/hyperlink" Target="mailto:Sarafaiz386@gmail.com?bcc=6914917@bcc.hubspot.com" TargetMode="External"/><Relationship Id="rId473" Type="http://schemas.openxmlformats.org/officeDocument/2006/relationships/hyperlink" Target="mailto:sales@allseasdubai.com?bcc=6914917@bcc.hubspot.com" TargetMode="External"/><Relationship Id="rId472" Type="http://schemas.openxmlformats.org/officeDocument/2006/relationships/hyperlink" Target="mailto:ibby2666@gmail.com?bcc=6914917@bcc.hubspot.com" TargetMode="External"/><Relationship Id="rId471" Type="http://schemas.openxmlformats.org/officeDocument/2006/relationships/hyperlink" Target="mailto:Hussain.uae.bip@gmail.com?bcc=6914917@bcc.hubspot.com" TargetMode="External"/><Relationship Id="rId470" Type="http://schemas.openxmlformats.org/officeDocument/2006/relationships/hyperlink" Target="mailto:ravirajdeshmukh79@gmail.com?bcc=6914917@bcc.hubspot.com" TargetMode="External"/><Relationship Id="rId477" Type="http://schemas.openxmlformats.org/officeDocument/2006/relationships/hyperlink" Target="mailto:Nithajoseph@gmail.com?bcc=6914917@bcc.hubspot.com" TargetMode="External"/><Relationship Id="rId476" Type="http://schemas.openxmlformats.org/officeDocument/2006/relationships/hyperlink" Target="mailto:batimka@mail.ru?bcc=6914917@bcc.hubspot.com" TargetMode="External"/><Relationship Id="rId475" Type="http://schemas.openxmlformats.org/officeDocument/2006/relationships/hyperlink" Target="mailto:hassan.ca1@gmail.com?bcc=6914917@bcc.hubspot.com" TargetMode="External"/><Relationship Id="rId474" Type="http://schemas.openxmlformats.org/officeDocument/2006/relationships/hyperlink" Target="mailto:mohammad.alammuri@gmail.com?bcc=6914917@bcc.hubspot.com" TargetMode="External"/><Relationship Id="rId1257" Type="http://schemas.openxmlformats.org/officeDocument/2006/relationships/hyperlink" Target="mailto:cjimmy666@gmail.com?bcc=6914917@bcc.hubspot.com" TargetMode="External"/><Relationship Id="rId1258" Type="http://schemas.openxmlformats.org/officeDocument/2006/relationships/hyperlink" Target="mailto:sandrine.broocks@yahoo.fr?bcc=6914917@bcc.hubspot.com" TargetMode="External"/><Relationship Id="rId1259" Type="http://schemas.openxmlformats.org/officeDocument/2006/relationships/hyperlink" Target="mailto:subulsyed@hotmail.com?bcc=6914917@bcc.hubspot.com" TargetMode="External"/><Relationship Id="rId426" Type="http://schemas.openxmlformats.org/officeDocument/2006/relationships/hyperlink" Target="mailto:alsabab-88@hotmail.com?bcc=6914917@bcc.hubspot.com" TargetMode="External"/><Relationship Id="rId425" Type="http://schemas.openxmlformats.org/officeDocument/2006/relationships/hyperlink" Target="mailto:kumararaja77@gmail.com?bcc=6914917@bcc.hubspot.com" TargetMode="External"/><Relationship Id="rId424" Type="http://schemas.openxmlformats.org/officeDocument/2006/relationships/hyperlink" Target="mailto:contactsweta@gmail.com?bcc=6914917@bcc.hubspot.com" TargetMode="External"/><Relationship Id="rId423" Type="http://schemas.openxmlformats.org/officeDocument/2006/relationships/hyperlink" Target="mailto:samankashif.24@gmail.com?bcc=6914917@bcc.hubspot.com" TargetMode="External"/><Relationship Id="rId429" Type="http://schemas.openxmlformats.org/officeDocument/2006/relationships/hyperlink" Target="mailto:eng.almohanned@gmail.com?bcc=6914917@bcc.hubspot.com" TargetMode="External"/><Relationship Id="rId428" Type="http://schemas.openxmlformats.org/officeDocument/2006/relationships/hyperlink" Target="mailto:jayganeshjadhav@hotmail.com?bcc=6914917@bcc.hubspot.com" TargetMode="External"/><Relationship Id="rId427" Type="http://schemas.openxmlformats.org/officeDocument/2006/relationships/hyperlink" Target="mailto:rekhas3@yahoo.com?bcc=6914917@bcc.hubspot.com" TargetMode="External"/><Relationship Id="rId1250" Type="http://schemas.openxmlformats.org/officeDocument/2006/relationships/hyperlink" Target="mailto:mashjari500@gmail.com?bcc=6914917@bcc.hubspot.com" TargetMode="External"/><Relationship Id="rId1251" Type="http://schemas.openxmlformats.org/officeDocument/2006/relationships/hyperlink" Target="mailto:kashifziarafique@hotmail.com?bcc=6914917@bcc.hubspot.com" TargetMode="External"/><Relationship Id="rId1252" Type="http://schemas.openxmlformats.org/officeDocument/2006/relationships/hyperlink" Target="mailto:khoory1234@yahoo.com?bcc=6914917@bcc.hubspot.com" TargetMode="External"/><Relationship Id="rId422" Type="http://schemas.openxmlformats.org/officeDocument/2006/relationships/hyperlink" Target="mailto:saferohit@rediffmail.com?bcc=6914917@bcc.hubspot.com" TargetMode="External"/><Relationship Id="rId1253" Type="http://schemas.openxmlformats.org/officeDocument/2006/relationships/hyperlink" Target="mailto:marielouisehamouch@hotmail.com?bcc=6914917@bcc.hubspot.com" TargetMode="External"/><Relationship Id="rId421" Type="http://schemas.openxmlformats.org/officeDocument/2006/relationships/hyperlink" Target="mailto:ha-aa@live.com?bcc=6914917@bcc.hubspot.com" TargetMode="External"/><Relationship Id="rId1254" Type="http://schemas.openxmlformats.org/officeDocument/2006/relationships/hyperlink" Target="mailto:ab.ramkooni@gmail.com?bcc=6914917@bcc.hubspot.com" TargetMode="External"/><Relationship Id="rId420" Type="http://schemas.openxmlformats.org/officeDocument/2006/relationships/hyperlink" Target="mailto:dr_axmed@hotmail.com?bcc=6914917@bcc.hubspot.com" TargetMode="External"/><Relationship Id="rId1255" Type="http://schemas.openxmlformats.org/officeDocument/2006/relationships/hyperlink" Target="mailto:sheilaearles@yahoo.co.uk?bcc=6914917@bcc.hubspot.com" TargetMode="External"/><Relationship Id="rId1256" Type="http://schemas.openxmlformats.org/officeDocument/2006/relationships/hyperlink" Target="mailto:umita75@gmail.com?bcc=6914917@bcc.hubspot.com" TargetMode="External"/><Relationship Id="rId1246" Type="http://schemas.openxmlformats.org/officeDocument/2006/relationships/hyperlink" Target="mailto:zxcvb600001@gmail.com?bcc=6914917@bcc.hubspot.com" TargetMode="External"/><Relationship Id="rId1247" Type="http://schemas.openxmlformats.org/officeDocument/2006/relationships/hyperlink" Target="mailto:ceo@nmsgroup.ae?bcc=6914917@bcc.hubspot.com" TargetMode="External"/><Relationship Id="rId1248" Type="http://schemas.openxmlformats.org/officeDocument/2006/relationships/hyperlink" Target="mailto:seanaqvi@hotmail.com?bcc=6914917@bcc.hubspot.com" TargetMode="External"/><Relationship Id="rId1249" Type="http://schemas.openxmlformats.org/officeDocument/2006/relationships/hyperlink" Target="mailto:onair@jsm.org?bcc=6914917@bcc.hubspot.com" TargetMode="External"/><Relationship Id="rId415" Type="http://schemas.openxmlformats.org/officeDocument/2006/relationships/hyperlink" Target="mailto:drnaseem737@gmail.com?bcc=6914917@bcc.hubspot.com" TargetMode="External"/><Relationship Id="rId899" Type="http://schemas.openxmlformats.org/officeDocument/2006/relationships/hyperlink" Target="mailto:dani.dj@hotmail.com?bcc=6914917@bcc.hubspot.com" TargetMode="External"/><Relationship Id="rId414" Type="http://schemas.openxmlformats.org/officeDocument/2006/relationships/hyperlink" Target="mailto:raheelvohra@hotmail.com?bcc=6914917@bcc.hubspot.com" TargetMode="External"/><Relationship Id="rId898" Type="http://schemas.openxmlformats.org/officeDocument/2006/relationships/hyperlink" Target="mailto:shekabdela2@gmail.com?bcc=6914917@bcc.hubspot.com" TargetMode="External"/><Relationship Id="rId413" Type="http://schemas.openxmlformats.org/officeDocument/2006/relationships/hyperlink" Target="mailto:hansam@gmail.com?bcc=6914917@bcc.hubspot.com" TargetMode="External"/><Relationship Id="rId897" Type="http://schemas.openxmlformats.org/officeDocument/2006/relationships/hyperlink" Target="mailto:mokhlesa.alwani@gmail.com?bcc=6914917@bcc.hubspot.com" TargetMode="External"/><Relationship Id="rId412" Type="http://schemas.openxmlformats.org/officeDocument/2006/relationships/hyperlink" Target="mailto:ashumoud@yahoo.com?bcc=6914917@bcc.hubspot.com" TargetMode="External"/><Relationship Id="rId896" Type="http://schemas.openxmlformats.org/officeDocument/2006/relationships/hyperlink" Target="mailto:sha7575lwan@gmail.com?bcc=6914917@bcc.hubspot.com" TargetMode="External"/><Relationship Id="rId419" Type="http://schemas.openxmlformats.org/officeDocument/2006/relationships/hyperlink" Target="mailto:ramhegde17@gmail.com?bcc=6914917@bcc.hubspot.com" TargetMode="External"/><Relationship Id="rId418" Type="http://schemas.openxmlformats.org/officeDocument/2006/relationships/hyperlink" Target="mailto:ghassan.assaf@wurth.ae?bcc=6914917@bcc.hubspot.com" TargetMode="External"/><Relationship Id="rId417" Type="http://schemas.openxmlformats.org/officeDocument/2006/relationships/hyperlink" Target="mailto:maryam.alayderousi@gmail.com?bcc=6914917@bcc.hubspot.com" TargetMode="External"/><Relationship Id="rId416" Type="http://schemas.openxmlformats.org/officeDocument/2006/relationships/hyperlink" Target="mailto:rose.6511@hotmail.com?bcc=6914917@bcc.hubspot.com" TargetMode="External"/><Relationship Id="rId891" Type="http://schemas.openxmlformats.org/officeDocument/2006/relationships/hyperlink" Target="mailto:sarahaya@hotmail.com?bcc=6914917@bcc.hubspot.com" TargetMode="External"/><Relationship Id="rId890" Type="http://schemas.openxmlformats.org/officeDocument/2006/relationships/hyperlink" Target="mailto:cguyrich@yahoo.com?bcc=6914917@bcc.hubspot.com" TargetMode="External"/><Relationship Id="rId1240" Type="http://schemas.openxmlformats.org/officeDocument/2006/relationships/hyperlink" Target="mailto:ala.w.almasri@gmail.com?bcc=6914917@bcc.hubspot.com" TargetMode="External"/><Relationship Id="rId1241" Type="http://schemas.openxmlformats.org/officeDocument/2006/relationships/hyperlink" Target="mailto:afaf.afana71@gmail.com?bcc=6914917@bcc.hubspot.com" TargetMode="External"/><Relationship Id="rId411" Type="http://schemas.openxmlformats.org/officeDocument/2006/relationships/hyperlink" Target="mailto:naemaalali@yahoo.com?bcc=6914917@bcc.hubspot.com" TargetMode="External"/><Relationship Id="rId895" Type="http://schemas.openxmlformats.org/officeDocument/2006/relationships/hyperlink" Target="mailto:mnaji64@hotmail.com?bcc=6914917@bcc.hubspot.com" TargetMode="External"/><Relationship Id="rId1242" Type="http://schemas.openxmlformats.org/officeDocument/2006/relationships/hyperlink" Target="mailto:eng.alaamohamed@gmail.com?bcc=6914917@bcc.hubspot.com" TargetMode="External"/><Relationship Id="rId410" Type="http://schemas.openxmlformats.org/officeDocument/2006/relationships/hyperlink" Target="mailto:amir7707@eim.ae?bcc=6914917@bcc.hubspot.com" TargetMode="External"/><Relationship Id="rId894" Type="http://schemas.openxmlformats.org/officeDocument/2006/relationships/hyperlink" Target="mailto:mnaji64@hotmail.com?bcc=6914917@bcc.hubspot.com" TargetMode="External"/><Relationship Id="rId1243" Type="http://schemas.openxmlformats.org/officeDocument/2006/relationships/hyperlink" Target="mailto:evansandrewlee@icloud.com?bcc=6914917@bcc.hubspot.com" TargetMode="External"/><Relationship Id="rId893" Type="http://schemas.openxmlformats.org/officeDocument/2006/relationships/hyperlink" Target="mailto:mya.azabawi@gmail.com?bcc=6914917@bcc.hubspot.com" TargetMode="External"/><Relationship Id="rId1244" Type="http://schemas.openxmlformats.org/officeDocument/2006/relationships/hyperlink" Target="mailto:e77_77@hotmail.com?bcc=6914917@bcc.hubspot.com" TargetMode="External"/><Relationship Id="rId892" Type="http://schemas.openxmlformats.org/officeDocument/2006/relationships/hyperlink" Target="mailto:palvishpatel1980@gmail.com?bcc=6914917@bcc.hubspot.com" TargetMode="External"/><Relationship Id="rId1245" Type="http://schemas.openxmlformats.org/officeDocument/2006/relationships/hyperlink" Target="mailto:davideze485@gmail.com?bcc=6914917@bcc.hubspot.com" TargetMode="External"/><Relationship Id="rId1279" Type="http://schemas.openxmlformats.org/officeDocument/2006/relationships/hyperlink" Target="mailto:mjpgg9@gmail.com?bcc=6914917@bcc.hubspot.com" TargetMode="External"/><Relationship Id="rId448" Type="http://schemas.openxmlformats.org/officeDocument/2006/relationships/hyperlink" Target="mailto:rasha9788@yahoo.com?bcc=6914917@bcc.hubspot.com" TargetMode="External"/><Relationship Id="rId447" Type="http://schemas.openxmlformats.org/officeDocument/2006/relationships/hyperlink" Target="mailto:pravin.kolapkar@gmail.com?bcc=6914917@bcc.hubspot.com" TargetMode="External"/><Relationship Id="rId446" Type="http://schemas.openxmlformats.org/officeDocument/2006/relationships/hyperlink" Target="mailto:osama.omer21@gmail.com?bcc=6914917@bcc.hubspot.com" TargetMode="External"/><Relationship Id="rId445" Type="http://schemas.openxmlformats.org/officeDocument/2006/relationships/hyperlink" Target="mailto:shabbir@nahtrading.net?bcc=6914917@bcc.hubspot.com" TargetMode="External"/><Relationship Id="rId449" Type="http://schemas.openxmlformats.org/officeDocument/2006/relationships/hyperlink" Target="mailto:mohdmub@hotmail.com?bcc=6914917@bcc.hubspot.com" TargetMode="External"/><Relationship Id="rId1270" Type="http://schemas.openxmlformats.org/officeDocument/2006/relationships/hyperlink" Target="mailto:hs38383@gmail.com?bcc=6914917@bcc.hubspot.com" TargetMode="External"/><Relationship Id="rId440" Type="http://schemas.openxmlformats.org/officeDocument/2006/relationships/hyperlink" Target="mailto:taimoor.alli@live.com?bcc=6914917@bcc.hubspot.com" TargetMode="External"/><Relationship Id="rId1271" Type="http://schemas.openxmlformats.org/officeDocument/2006/relationships/hyperlink" Target="mailto:majidbinmasoud@gmail.com?bcc=6914917@bcc.hubspot.com" TargetMode="External"/><Relationship Id="rId1272" Type="http://schemas.openxmlformats.org/officeDocument/2006/relationships/hyperlink" Target="mailto:wooicheat_goh@yahoo.com.sg?bcc=6914917@bcc.hubspot.com" TargetMode="External"/><Relationship Id="rId1273" Type="http://schemas.openxmlformats.org/officeDocument/2006/relationships/hyperlink" Target="mailto:Eimi.dare@gmail.com?bcc=6914917@bcc.hubspot.com" TargetMode="External"/><Relationship Id="rId1274" Type="http://schemas.openxmlformats.org/officeDocument/2006/relationships/hyperlink" Target="mailto:mo3tazyn@gmail.com?bcc=6914917@bcc.hubspot.com" TargetMode="External"/><Relationship Id="rId444" Type="http://schemas.openxmlformats.org/officeDocument/2006/relationships/hyperlink" Target="mailto:hosamakk@gmail.com?bcc=6914917@bcc.hubspot.com" TargetMode="External"/><Relationship Id="rId1275" Type="http://schemas.openxmlformats.org/officeDocument/2006/relationships/hyperlink" Target="mailto:oommenbabu@hotmail.com?bcc=6914917@bcc.hubspot.com" TargetMode="External"/><Relationship Id="rId443" Type="http://schemas.openxmlformats.org/officeDocument/2006/relationships/hyperlink" Target="mailto:niteshsinghal469@gmail.com?bcc=6914917@bcc.hubspot.com" TargetMode="External"/><Relationship Id="rId1276" Type="http://schemas.openxmlformats.org/officeDocument/2006/relationships/hyperlink" Target="mailto:nick.barratt@gmail.com?bcc=6914917@bcc.hubspot.com" TargetMode="External"/><Relationship Id="rId442" Type="http://schemas.openxmlformats.org/officeDocument/2006/relationships/hyperlink" Target="mailto:pvmprabagar@gmail.com?bcc=6914917@bcc.hubspot.com" TargetMode="External"/><Relationship Id="rId1277" Type="http://schemas.openxmlformats.org/officeDocument/2006/relationships/hyperlink" Target="mailto:marco.oleotto@gmail.com?bcc=6914917@bcc.hubspot.com" TargetMode="External"/><Relationship Id="rId441" Type="http://schemas.openxmlformats.org/officeDocument/2006/relationships/hyperlink" Target="mailto:rajneesharora03@gmail.com?bcc=6914917@bcc.hubspot.com" TargetMode="External"/><Relationship Id="rId1278" Type="http://schemas.openxmlformats.org/officeDocument/2006/relationships/hyperlink" Target="mailto:mamicni@eim.ae?bcc=6914917@bcc.hubspot.com" TargetMode="External"/><Relationship Id="rId1268" Type="http://schemas.openxmlformats.org/officeDocument/2006/relationships/hyperlink" Target="mailto:yousif.m.dossari@hotmail.com?bcc=6914917@bcc.hubspot.com" TargetMode="External"/><Relationship Id="rId1269" Type="http://schemas.openxmlformats.org/officeDocument/2006/relationships/hyperlink" Target="mailto:mohamed06@gmail.com?bcc=6914917@bcc.hubspot.com" TargetMode="External"/><Relationship Id="rId437" Type="http://schemas.openxmlformats.org/officeDocument/2006/relationships/hyperlink" Target="mailto:aboualqasim@yahoo.com?bcc=6914917@bcc.hubspot.com" TargetMode="External"/><Relationship Id="rId436" Type="http://schemas.openxmlformats.org/officeDocument/2006/relationships/hyperlink" Target="mailto:s.ali.zee05@gmail.com?bcc=6914917@bcc.hubspot.com" TargetMode="External"/><Relationship Id="rId435" Type="http://schemas.openxmlformats.org/officeDocument/2006/relationships/hyperlink" Target="mailto:shineazumi1@gmail.com?bcc=6914917@bcc.hubspot.com" TargetMode="External"/><Relationship Id="rId434" Type="http://schemas.openxmlformats.org/officeDocument/2006/relationships/hyperlink" Target="mailto:drsaraafsharinia@gmail.com?bcc=6914917@bcc.hubspot.com" TargetMode="External"/><Relationship Id="rId439" Type="http://schemas.openxmlformats.org/officeDocument/2006/relationships/hyperlink" Target="mailto:shebe2020@hotmail.com?bcc=6914917@bcc.hubspot.com" TargetMode="External"/><Relationship Id="rId438" Type="http://schemas.openxmlformats.org/officeDocument/2006/relationships/hyperlink" Target="mailto:shathishprabu@gmail.com?bcc=6914917@bcc.hubspot.com" TargetMode="External"/><Relationship Id="rId1260" Type="http://schemas.openxmlformats.org/officeDocument/2006/relationships/hyperlink" Target="mailto:gonzalesjhenny39@gmail.com?bcc=6914917@bcc.hubspot.com" TargetMode="External"/><Relationship Id="rId1261" Type="http://schemas.openxmlformats.org/officeDocument/2006/relationships/hyperlink" Target="mailto:ms_maqweeen@hotmail.com?bcc=6914917@bcc.hubspot.com" TargetMode="External"/><Relationship Id="rId1262" Type="http://schemas.openxmlformats.org/officeDocument/2006/relationships/hyperlink" Target="mailto:sihamaqel3@gmail.com?bcc=6914917@bcc.hubspot.com" TargetMode="External"/><Relationship Id="rId1263" Type="http://schemas.openxmlformats.org/officeDocument/2006/relationships/hyperlink" Target="mailto:sammust110@yahoo.com?bcc=6914917@bcc.hubspot.com" TargetMode="External"/><Relationship Id="rId433" Type="http://schemas.openxmlformats.org/officeDocument/2006/relationships/hyperlink" Target="mailto:akeel779@hotmail.com?bcc=6914917@bcc.hubspot.com" TargetMode="External"/><Relationship Id="rId1264" Type="http://schemas.openxmlformats.org/officeDocument/2006/relationships/hyperlink" Target="mailto:msdoriwala@yahoo.co.uk?bcc=6914917@bcc.hubspot.com" TargetMode="External"/><Relationship Id="rId432" Type="http://schemas.openxmlformats.org/officeDocument/2006/relationships/hyperlink" Target="mailto:Nabilms78@yahoo.com?bcc=6914917@bcc.hubspot.com" TargetMode="External"/><Relationship Id="rId1265" Type="http://schemas.openxmlformats.org/officeDocument/2006/relationships/hyperlink" Target="mailto:muhammadamin11@gmail.com?bcc=6914917@bcc.hubspot.com" TargetMode="External"/><Relationship Id="rId431" Type="http://schemas.openxmlformats.org/officeDocument/2006/relationships/hyperlink" Target="mailto:ramnaj2@yahoo.com?bcc=6914917@bcc.hubspot.com" TargetMode="External"/><Relationship Id="rId1266" Type="http://schemas.openxmlformats.org/officeDocument/2006/relationships/hyperlink" Target="mailto:jobilita@yahoo.com?bcc=6914917@bcc.hubspot.com" TargetMode="External"/><Relationship Id="rId430" Type="http://schemas.openxmlformats.org/officeDocument/2006/relationships/hyperlink" Target="mailto:Amazahir@gmail.com?bcc=6914917@bcc.hubspot.com" TargetMode="External"/><Relationship Id="rId1267" Type="http://schemas.openxmlformats.org/officeDocument/2006/relationships/hyperlink" Target="mailto:ashwinoperationsuae@gmail.com?bcc=6914917@bcc.hubspo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29"/>
    <col customWidth="1" min="3" max="3" width="28.0"/>
    <col customWidth="1" min="4" max="4" width="27.14"/>
    <col customWidth="1" min="5" max="5" width="15.57"/>
    <col customWidth="1" min="6" max="6" width="31.29"/>
    <col customWidth="1" min="7" max="7" width="43.43"/>
    <col customWidth="1" min="8" max="8" width="25.29"/>
  </cols>
  <sheetData>
    <row r="1">
      <c r="A1" s="1"/>
      <c r="B1" s="1"/>
      <c r="C1" s="2" t="s">
        <v>0</v>
      </c>
      <c r="D1" s="3"/>
      <c r="E1" s="3"/>
      <c r="F1" s="3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9">
        <v>1.0</v>
      </c>
      <c r="B3" s="10">
        <v>44082.0</v>
      </c>
      <c r="C3" s="9" t="s">
        <v>9</v>
      </c>
      <c r="D3" s="11" t="s">
        <v>10</v>
      </c>
      <c r="E3" s="9">
        <v>9.71557471542E11</v>
      </c>
      <c r="F3" s="12" t="s">
        <v>11</v>
      </c>
      <c r="G3" s="9" t="s">
        <v>12</v>
      </c>
      <c r="H3" s="9" t="s">
        <v>13</v>
      </c>
      <c r="I3" s="13"/>
      <c r="J3" s="13"/>
      <c r="K3" s="14"/>
      <c r="L3" s="13"/>
      <c r="M3" s="14"/>
      <c r="N3" s="15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9">
        <v>2.0</v>
      </c>
      <c r="B4" s="10">
        <v>44082.0</v>
      </c>
      <c r="C4" s="9" t="s">
        <v>9</v>
      </c>
      <c r="D4" s="11" t="s">
        <v>14</v>
      </c>
      <c r="E4" s="9">
        <v>9.710567303238E12</v>
      </c>
      <c r="F4" s="12" t="s">
        <v>15</v>
      </c>
      <c r="G4" s="9" t="s">
        <v>16</v>
      </c>
      <c r="H4" s="9" t="s">
        <v>17</v>
      </c>
      <c r="I4" s="13"/>
      <c r="J4" s="13"/>
      <c r="K4" s="14"/>
      <c r="L4" s="13"/>
      <c r="M4" s="14"/>
      <c r="N4" s="15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9">
        <v>3.0</v>
      </c>
      <c r="B5" s="10">
        <v>44082.0</v>
      </c>
      <c r="C5" s="9" t="s">
        <v>9</v>
      </c>
      <c r="D5" s="11" t="s">
        <v>18</v>
      </c>
      <c r="E5" s="9">
        <v>9.71052250771E12</v>
      </c>
      <c r="F5" s="12" t="s">
        <v>19</v>
      </c>
      <c r="G5" s="9" t="s">
        <v>20</v>
      </c>
      <c r="H5" s="9" t="s">
        <v>21</v>
      </c>
      <c r="I5" s="13"/>
      <c r="J5" s="13"/>
      <c r="K5" s="14"/>
      <c r="L5" s="13"/>
      <c r="M5" s="14"/>
      <c r="N5" s="15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9">
        <v>4.0</v>
      </c>
      <c r="B6" s="10">
        <v>44082.0</v>
      </c>
      <c r="C6" s="9" t="s">
        <v>22</v>
      </c>
      <c r="D6" s="16" t="s">
        <v>23</v>
      </c>
      <c r="E6" s="9">
        <v>9.7105080818E12</v>
      </c>
      <c r="F6" s="12" t="s">
        <v>24</v>
      </c>
      <c r="G6" s="9" t="s">
        <v>25</v>
      </c>
      <c r="H6" s="9" t="s">
        <v>13</v>
      </c>
      <c r="I6" s="13"/>
      <c r="J6" s="13"/>
      <c r="K6" s="14"/>
      <c r="L6" s="13"/>
      <c r="M6" s="14"/>
      <c r="N6" s="15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9">
        <v>5.0</v>
      </c>
      <c r="B7" s="10">
        <v>44082.0</v>
      </c>
      <c r="C7" s="9" t="s">
        <v>22</v>
      </c>
      <c r="D7" s="11" t="s">
        <v>26</v>
      </c>
      <c r="E7" s="9">
        <v>4.60760220988E11</v>
      </c>
      <c r="F7" s="12" t="s">
        <v>27</v>
      </c>
      <c r="G7" s="9" t="s">
        <v>28</v>
      </c>
      <c r="H7" s="9" t="s">
        <v>13</v>
      </c>
      <c r="I7" s="13"/>
      <c r="J7" s="13"/>
      <c r="K7" s="14"/>
      <c r="L7" s="13"/>
      <c r="M7" s="14"/>
      <c r="N7" s="15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9">
        <v>6.0</v>
      </c>
      <c r="B8" s="10">
        <v>44082.0</v>
      </c>
      <c r="C8" s="9" t="s">
        <v>22</v>
      </c>
      <c r="D8" s="11" t="s">
        <v>29</v>
      </c>
      <c r="E8" s="9">
        <v>9.710506417775E12</v>
      </c>
      <c r="F8" s="12" t="s">
        <v>30</v>
      </c>
      <c r="G8" s="9" t="s">
        <v>28</v>
      </c>
      <c r="H8" s="9" t="s">
        <v>13</v>
      </c>
      <c r="I8" s="13"/>
      <c r="J8" s="13"/>
      <c r="K8" s="14"/>
      <c r="L8" s="13"/>
      <c r="M8" s="14"/>
      <c r="N8" s="15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9">
        <v>7.0</v>
      </c>
      <c r="B9" s="10">
        <v>44087.0</v>
      </c>
      <c r="C9" s="9" t="s">
        <v>22</v>
      </c>
      <c r="D9" s="16" t="s">
        <v>31</v>
      </c>
      <c r="E9" s="9">
        <v>9.710507879022E12</v>
      </c>
      <c r="F9" s="12" t="s">
        <v>32</v>
      </c>
      <c r="G9" s="9" t="s">
        <v>25</v>
      </c>
      <c r="H9" s="9" t="s">
        <v>13</v>
      </c>
      <c r="I9" s="13"/>
      <c r="J9" s="13"/>
      <c r="K9" s="14"/>
      <c r="L9" s="13"/>
      <c r="M9" s="14"/>
      <c r="N9" s="15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9">
        <v>8.0</v>
      </c>
      <c r="B10" s="10">
        <v>44087.0</v>
      </c>
      <c r="C10" s="9" t="s">
        <v>9</v>
      </c>
      <c r="D10" s="11" t="s">
        <v>33</v>
      </c>
      <c r="E10" s="9">
        <v>9.710528187327E12</v>
      </c>
      <c r="F10" s="12" t="s">
        <v>34</v>
      </c>
      <c r="G10" s="9" t="s">
        <v>35</v>
      </c>
      <c r="H10" s="9" t="s">
        <v>13</v>
      </c>
      <c r="I10" s="13"/>
      <c r="J10" s="13"/>
      <c r="K10" s="14"/>
      <c r="L10" s="13"/>
      <c r="M10" s="14"/>
      <c r="N10" s="15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9">
        <v>9.0</v>
      </c>
      <c r="B11" s="10">
        <v>44082.0</v>
      </c>
      <c r="C11" s="9" t="s">
        <v>22</v>
      </c>
      <c r="D11" s="11" t="s">
        <v>36</v>
      </c>
      <c r="E11" s="9">
        <v>9.71522530215E11</v>
      </c>
      <c r="F11" s="12" t="s">
        <v>37</v>
      </c>
      <c r="G11" s="9" t="s">
        <v>28</v>
      </c>
      <c r="H11" s="9" t="s">
        <v>13</v>
      </c>
      <c r="I11" s="13"/>
      <c r="J11" s="13"/>
      <c r="K11" s="14"/>
      <c r="L11" s="13"/>
      <c r="M11" s="14"/>
      <c r="N11" s="15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9">
        <v>10.0</v>
      </c>
      <c r="B12" s="10">
        <v>44081.0</v>
      </c>
      <c r="C12" s="9" t="s">
        <v>9</v>
      </c>
      <c r="D12" s="11" t="s">
        <v>38</v>
      </c>
      <c r="E12" s="9">
        <v>9.71050390909E12</v>
      </c>
      <c r="F12" s="12" t="s">
        <v>39</v>
      </c>
      <c r="G12" s="9" t="s">
        <v>40</v>
      </c>
      <c r="H12" s="9" t="s">
        <v>41</v>
      </c>
      <c r="I12" s="13"/>
      <c r="J12" s="13"/>
      <c r="K12" s="14"/>
      <c r="L12" s="13"/>
      <c r="M12" s="14"/>
      <c r="N12" s="15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9">
        <v>11.0</v>
      </c>
      <c r="B13" s="10">
        <v>44081.0</v>
      </c>
      <c r="C13" s="9" t="s">
        <v>9</v>
      </c>
      <c r="D13" s="16" t="s">
        <v>42</v>
      </c>
      <c r="E13" s="9">
        <v>9.710504334843E12</v>
      </c>
      <c r="F13" s="12" t="s">
        <v>43</v>
      </c>
      <c r="G13" s="9" t="s">
        <v>40</v>
      </c>
      <c r="H13" s="9" t="s">
        <v>17</v>
      </c>
      <c r="I13" s="13"/>
      <c r="J13" s="13"/>
      <c r="K13" s="14"/>
      <c r="L13" s="13"/>
      <c r="M13" s="14"/>
      <c r="N13" s="15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9">
        <v>12.0</v>
      </c>
      <c r="B14" s="10">
        <v>44081.0</v>
      </c>
      <c r="C14" s="9" t="s">
        <v>22</v>
      </c>
      <c r="D14" s="11" t="s">
        <v>44</v>
      </c>
      <c r="E14" s="9">
        <v>9.710543413841E12</v>
      </c>
      <c r="F14" s="12" t="s">
        <v>45</v>
      </c>
      <c r="G14" s="9" t="s">
        <v>46</v>
      </c>
      <c r="H14" s="9" t="s">
        <v>13</v>
      </c>
      <c r="I14" s="13"/>
      <c r="J14" s="13"/>
      <c r="K14" s="14"/>
      <c r="L14" s="13"/>
      <c r="M14" s="14"/>
      <c r="N14" s="15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9">
        <v>13.0</v>
      </c>
      <c r="B15" s="10">
        <v>44083.0</v>
      </c>
      <c r="C15" s="9" t="s">
        <v>47</v>
      </c>
      <c r="D15" s="11" t="s">
        <v>48</v>
      </c>
      <c r="E15" s="9">
        <v>9.710524607207E12</v>
      </c>
      <c r="F15" s="12" t="s">
        <v>49</v>
      </c>
      <c r="G15" s="9" t="s">
        <v>12</v>
      </c>
      <c r="H15" s="9" t="s">
        <v>13</v>
      </c>
      <c r="I15" s="13"/>
      <c r="J15" s="13"/>
      <c r="K15" s="14"/>
      <c r="L15" s="13"/>
      <c r="M15" s="14"/>
      <c r="N15" s="15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9">
        <v>14.0</v>
      </c>
      <c r="B16" s="10">
        <v>44083.0</v>
      </c>
      <c r="C16" s="9" t="s">
        <v>22</v>
      </c>
      <c r="D16" s="11" t="s">
        <v>50</v>
      </c>
      <c r="E16" s="9">
        <v>9.71553355722E11</v>
      </c>
      <c r="F16" s="12" t="s">
        <v>51</v>
      </c>
      <c r="G16" s="9" t="s">
        <v>52</v>
      </c>
      <c r="H16" s="9" t="s">
        <v>21</v>
      </c>
      <c r="I16" s="13"/>
      <c r="J16" s="13"/>
      <c r="K16" s="14"/>
      <c r="L16" s="13"/>
      <c r="M16" s="14"/>
      <c r="N16" s="15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9">
        <v>15.0</v>
      </c>
      <c r="B17" s="10">
        <v>44082.0</v>
      </c>
      <c r="C17" s="9" t="s">
        <v>22</v>
      </c>
      <c r="D17" s="16" t="s">
        <v>53</v>
      </c>
      <c r="E17" s="9">
        <v>9.710508444322E12</v>
      </c>
      <c r="F17" s="12" t="s">
        <v>54</v>
      </c>
      <c r="G17" s="9" t="s">
        <v>25</v>
      </c>
      <c r="H17" s="9" t="s">
        <v>13</v>
      </c>
      <c r="I17" s="13"/>
      <c r="J17" s="13"/>
      <c r="K17" s="14"/>
      <c r="L17" s="13"/>
      <c r="M17" s="14"/>
      <c r="N17" s="15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9">
        <v>16.0</v>
      </c>
      <c r="B18" s="10">
        <v>44082.0</v>
      </c>
      <c r="C18" s="9" t="s">
        <v>22</v>
      </c>
      <c r="D18" s="11" t="s">
        <v>55</v>
      </c>
      <c r="E18" s="9">
        <v>9.710505791988E12</v>
      </c>
      <c r="F18" s="12" t="s">
        <v>56</v>
      </c>
      <c r="G18" s="9" t="s">
        <v>57</v>
      </c>
      <c r="H18" s="9" t="s">
        <v>41</v>
      </c>
      <c r="I18" s="13"/>
      <c r="J18" s="13"/>
      <c r="K18" s="14"/>
      <c r="L18" s="13"/>
      <c r="M18" s="14"/>
      <c r="N18" s="15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9">
        <v>17.0</v>
      </c>
      <c r="B19" s="10">
        <v>44087.0</v>
      </c>
      <c r="C19" s="9" t="s">
        <v>47</v>
      </c>
      <c r="D19" s="11" t="s">
        <v>58</v>
      </c>
      <c r="E19" s="9">
        <v>9.710556390635E12</v>
      </c>
      <c r="F19" s="12" t="s">
        <v>59</v>
      </c>
      <c r="G19" s="9" t="s">
        <v>60</v>
      </c>
      <c r="H19" s="9" t="s">
        <v>13</v>
      </c>
      <c r="I19" s="13"/>
      <c r="J19" s="13"/>
      <c r="K19" s="14"/>
      <c r="L19" s="13"/>
      <c r="M19" s="14"/>
      <c r="N19" s="15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9">
        <v>18.0</v>
      </c>
      <c r="B20" s="10">
        <v>44082.0</v>
      </c>
      <c r="C20" s="9" t="s">
        <v>22</v>
      </c>
      <c r="D20" s="16" t="s">
        <v>61</v>
      </c>
      <c r="E20" s="9">
        <v>9.71503337762E11</v>
      </c>
      <c r="F20" s="12" t="s">
        <v>62</v>
      </c>
      <c r="G20" s="9" t="s">
        <v>57</v>
      </c>
      <c r="H20" s="9" t="s">
        <v>17</v>
      </c>
      <c r="I20" s="13"/>
      <c r="J20" s="13"/>
      <c r="K20" s="14"/>
      <c r="L20" s="13"/>
      <c r="M20" s="14"/>
      <c r="N20" s="15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9">
        <v>19.0</v>
      </c>
      <c r="B21" s="10">
        <v>44087.0</v>
      </c>
      <c r="C21" s="9" t="s">
        <v>9</v>
      </c>
      <c r="D21" s="11" t="s">
        <v>63</v>
      </c>
      <c r="E21" s="9">
        <v>9.71554279991E11</v>
      </c>
      <c r="F21" s="12" t="s">
        <v>64</v>
      </c>
      <c r="G21" s="9" t="s">
        <v>60</v>
      </c>
      <c r="H21" s="9" t="s">
        <v>13</v>
      </c>
      <c r="I21" s="13"/>
      <c r="J21" s="13"/>
      <c r="K21" s="14"/>
      <c r="L21" s="13"/>
      <c r="M21" s="14"/>
      <c r="N21" s="15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9">
        <v>20.0</v>
      </c>
      <c r="B22" s="10">
        <v>44082.0</v>
      </c>
      <c r="C22" s="9" t="s">
        <v>22</v>
      </c>
      <c r="D22" s="11" t="s">
        <v>65</v>
      </c>
      <c r="E22" s="9">
        <v>9.71555212206E11</v>
      </c>
      <c r="F22" s="12" t="s">
        <v>66</v>
      </c>
      <c r="G22" s="9" t="s">
        <v>52</v>
      </c>
      <c r="H22" s="9" t="s">
        <v>41</v>
      </c>
      <c r="I22" s="13"/>
      <c r="J22" s="13"/>
      <c r="K22" s="14"/>
      <c r="L22" s="13"/>
      <c r="M22" s="14"/>
      <c r="N22" s="15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9">
        <v>21.0</v>
      </c>
      <c r="B23" s="10">
        <v>44080.0</v>
      </c>
      <c r="C23" s="9" t="s">
        <v>22</v>
      </c>
      <c r="D23" s="11" t="s">
        <v>67</v>
      </c>
      <c r="E23" s="9">
        <v>9.71553788891E11</v>
      </c>
      <c r="F23" s="12" t="s">
        <v>68</v>
      </c>
      <c r="G23" s="9" t="s">
        <v>60</v>
      </c>
      <c r="H23" s="9" t="s">
        <v>41</v>
      </c>
      <c r="I23" s="13"/>
      <c r="J23" s="13"/>
      <c r="K23" s="14"/>
      <c r="L23" s="13"/>
      <c r="M23" s="14"/>
      <c r="N23" s="15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9">
        <v>22.0</v>
      </c>
      <c r="B24" s="10">
        <v>44081.0</v>
      </c>
      <c r="C24" s="9" t="s">
        <v>9</v>
      </c>
      <c r="D24" s="11" t="s">
        <v>69</v>
      </c>
      <c r="E24" s="9">
        <v>9.71505187074E11</v>
      </c>
      <c r="F24" s="12" t="s">
        <v>70</v>
      </c>
      <c r="G24" s="9" t="s">
        <v>60</v>
      </c>
      <c r="H24" s="9" t="s">
        <v>17</v>
      </c>
      <c r="I24" s="13"/>
      <c r="J24" s="13"/>
      <c r="K24" s="14"/>
      <c r="L24" s="13"/>
      <c r="M24" s="14"/>
      <c r="N24" s="15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9">
        <v>23.0</v>
      </c>
      <c r="B25" s="10">
        <v>44080.0</v>
      </c>
      <c r="C25" s="9" t="s">
        <v>47</v>
      </c>
      <c r="D25" s="11" t="s">
        <v>71</v>
      </c>
      <c r="E25" s="9">
        <v>9.71555527145E11</v>
      </c>
      <c r="F25" s="12" t="s">
        <v>72</v>
      </c>
      <c r="G25" s="9" t="s">
        <v>60</v>
      </c>
      <c r="H25" s="9" t="s">
        <v>73</v>
      </c>
      <c r="I25" s="13"/>
      <c r="J25" s="13"/>
      <c r="K25" s="14"/>
      <c r="L25" s="13"/>
      <c r="M25" s="14"/>
      <c r="N25" s="15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9">
        <v>24.0</v>
      </c>
      <c r="B26" s="10">
        <v>44080.0</v>
      </c>
      <c r="C26" s="9" t="s">
        <v>47</v>
      </c>
      <c r="D26" s="11" t="s">
        <v>74</v>
      </c>
      <c r="E26" s="9">
        <v>9.66542315569E11</v>
      </c>
      <c r="F26" s="12" t="s">
        <v>75</v>
      </c>
      <c r="G26" s="9" t="s">
        <v>16</v>
      </c>
      <c r="H26" s="9" t="s">
        <v>17</v>
      </c>
      <c r="I26" s="13"/>
      <c r="J26" s="13"/>
      <c r="K26" s="14"/>
      <c r="L26" s="13"/>
      <c r="M26" s="14"/>
      <c r="N26" s="15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9">
        <v>25.0</v>
      </c>
      <c r="B27" s="10">
        <v>44080.0</v>
      </c>
      <c r="C27" s="9" t="s">
        <v>47</v>
      </c>
      <c r="D27" s="16" t="s">
        <v>76</v>
      </c>
      <c r="E27" s="9">
        <v>9.66555158852E11</v>
      </c>
      <c r="F27" s="12" t="s">
        <v>77</v>
      </c>
      <c r="G27" s="9" t="s">
        <v>25</v>
      </c>
      <c r="H27" s="9" t="s">
        <v>13</v>
      </c>
      <c r="I27" s="13"/>
      <c r="J27" s="13"/>
      <c r="K27" s="14"/>
      <c r="L27" s="13"/>
      <c r="M27" s="14"/>
      <c r="N27" s="15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9">
        <v>26.0</v>
      </c>
      <c r="B28" s="10">
        <v>44086.0</v>
      </c>
      <c r="C28" s="9" t="s">
        <v>22</v>
      </c>
      <c r="D28" s="11" t="s">
        <v>78</v>
      </c>
      <c r="E28" s="9">
        <v>9.710557024576E12</v>
      </c>
      <c r="F28" s="12" t="s">
        <v>79</v>
      </c>
      <c r="G28" s="9" t="s">
        <v>80</v>
      </c>
      <c r="H28" s="9" t="s">
        <v>81</v>
      </c>
      <c r="I28" s="13"/>
      <c r="J28" s="13"/>
      <c r="K28" s="14"/>
      <c r="L28" s="13"/>
      <c r="M28" s="14"/>
      <c r="N28" s="15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9">
        <v>27.0</v>
      </c>
      <c r="B29" s="10">
        <v>44086.0</v>
      </c>
      <c r="C29" s="9" t="s">
        <v>22</v>
      </c>
      <c r="D29" s="11" t="s">
        <v>82</v>
      </c>
      <c r="E29" s="9">
        <v>9.710554879022E12</v>
      </c>
      <c r="F29" s="12" t="s">
        <v>83</v>
      </c>
      <c r="G29" s="9" t="s">
        <v>46</v>
      </c>
      <c r="H29" s="9" t="s">
        <v>13</v>
      </c>
      <c r="I29" s="13"/>
      <c r="J29" s="13"/>
      <c r="K29" s="14"/>
      <c r="L29" s="13"/>
      <c r="M29" s="14"/>
      <c r="N29" s="15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9">
        <v>28.0</v>
      </c>
      <c r="B30" s="10">
        <v>44086.0</v>
      </c>
      <c r="C30" s="9" t="s">
        <v>22</v>
      </c>
      <c r="D30" s="11" t="s">
        <v>84</v>
      </c>
      <c r="E30" s="9">
        <v>9.71552557205E11</v>
      </c>
      <c r="F30" s="12" t="s">
        <v>85</v>
      </c>
      <c r="G30" s="9" t="s">
        <v>57</v>
      </c>
      <c r="H30" s="9" t="s">
        <v>41</v>
      </c>
      <c r="I30" s="13"/>
      <c r="J30" s="13"/>
      <c r="K30" s="14"/>
      <c r="L30" s="13"/>
      <c r="M30" s="14"/>
      <c r="N30" s="15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9">
        <v>29.0</v>
      </c>
      <c r="B31" s="10">
        <v>44086.0</v>
      </c>
      <c r="C31" s="9" t="s">
        <v>9</v>
      </c>
      <c r="D31" s="11" t="s">
        <v>86</v>
      </c>
      <c r="E31" s="9">
        <v>9.710503351177E12</v>
      </c>
      <c r="F31" s="12" t="s">
        <v>87</v>
      </c>
      <c r="G31" s="9" t="s">
        <v>35</v>
      </c>
      <c r="H31" s="9" t="s">
        <v>13</v>
      </c>
      <c r="I31" s="13"/>
      <c r="J31" s="13"/>
      <c r="K31" s="14"/>
      <c r="L31" s="13"/>
      <c r="M31" s="14"/>
      <c r="N31" s="15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9">
        <v>30.0</v>
      </c>
      <c r="B32" s="10">
        <v>44083.0</v>
      </c>
      <c r="C32" s="9" t="s">
        <v>9</v>
      </c>
      <c r="D32" s="11" t="s">
        <v>88</v>
      </c>
      <c r="E32" s="9">
        <v>9.710568284082E12</v>
      </c>
      <c r="F32" s="12" t="s">
        <v>89</v>
      </c>
      <c r="G32" s="9" t="s">
        <v>20</v>
      </c>
      <c r="H32" s="9" t="s">
        <v>17</v>
      </c>
      <c r="I32" s="13"/>
      <c r="J32" s="13"/>
      <c r="K32" s="14"/>
      <c r="L32" s="13"/>
      <c r="M32" s="14"/>
      <c r="N32" s="15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9">
        <v>31.0</v>
      </c>
      <c r="B33" s="10">
        <v>44081.0</v>
      </c>
      <c r="C33" s="9" t="s">
        <v>9</v>
      </c>
      <c r="D33" s="11" t="s">
        <v>90</v>
      </c>
      <c r="E33" s="9">
        <v>9.710505447978E12</v>
      </c>
      <c r="F33" s="12" t="s">
        <v>91</v>
      </c>
      <c r="G33" s="9" t="s">
        <v>20</v>
      </c>
      <c r="H33" s="9" t="s">
        <v>17</v>
      </c>
      <c r="I33" s="13"/>
      <c r="J33" s="13"/>
      <c r="K33" s="14"/>
      <c r="L33" s="13"/>
      <c r="M33" s="14"/>
      <c r="N33" s="15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9">
        <v>32.0</v>
      </c>
      <c r="B34" s="10">
        <v>44086.0</v>
      </c>
      <c r="C34" s="9" t="s">
        <v>22</v>
      </c>
      <c r="D34" s="16" t="s">
        <v>92</v>
      </c>
      <c r="E34" s="9">
        <v>9.710504322338E12</v>
      </c>
      <c r="F34" s="12" t="s">
        <v>93</v>
      </c>
      <c r="G34" s="9" t="s">
        <v>25</v>
      </c>
      <c r="H34" s="9" t="s">
        <v>13</v>
      </c>
      <c r="I34" s="13"/>
      <c r="J34" s="13"/>
      <c r="K34" s="14"/>
      <c r="L34" s="13"/>
      <c r="M34" s="14"/>
      <c r="N34" s="15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9">
        <v>33.0</v>
      </c>
      <c r="B35" s="10">
        <v>44083.0</v>
      </c>
      <c r="C35" s="9" t="s">
        <v>47</v>
      </c>
      <c r="D35" s="11" t="s">
        <v>94</v>
      </c>
      <c r="E35" s="9">
        <v>9.71585840118E11</v>
      </c>
      <c r="F35" s="12" t="s">
        <v>95</v>
      </c>
      <c r="G35" s="9" t="s">
        <v>96</v>
      </c>
      <c r="H35" s="9" t="s">
        <v>41</v>
      </c>
      <c r="I35" s="13"/>
      <c r="J35" s="13"/>
      <c r="K35" s="14"/>
      <c r="L35" s="13"/>
      <c r="M35" s="14"/>
      <c r="N35" s="15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9">
        <v>34.0</v>
      </c>
      <c r="B36" s="10">
        <v>44081.0</v>
      </c>
      <c r="C36" s="9" t="s">
        <v>22</v>
      </c>
      <c r="D36" s="16" t="s">
        <v>97</v>
      </c>
      <c r="E36" s="9">
        <v>9.71566178686E11</v>
      </c>
      <c r="F36" s="12" t="s">
        <v>98</v>
      </c>
      <c r="G36" s="9" t="s">
        <v>57</v>
      </c>
      <c r="H36" s="9" t="s">
        <v>41</v>
      </c>
      <c r="I36" s="13"/>
      <c r="J36" s="13"/>
      <c r="K36" s="14"/>
      <c r="L36" s="13"/>
      <c r="M36" s="14"/>
      <c r="N36" s="15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9">
        <v>35.0</v>
      </c>
      <c r="B37" s="10">
        <v>44081.0</v>
      </c>
      <c r="C37" s="9" t="s">
        <v>22</v>
      </c>
      <c r="D37" s="11" t="s">
        <v>99</v>
      </c>
      <c r="E37" s="9">
        <v>9.710509922267E12</v>
      </c>
      <c r="F37" s="12" t="s">
        <v>100</v>
      </c>
      <c r="G37" s="9" t="s">
        <v>52</v>
      </c>
      <c r="H37" s="9" t="s">
        <v>41</v>
      </c>
      <c r="I37" s="13"/>
      <c r="J37" s="13"/>
      <c r="K37" s="14"/>
      <c r="L37" s="13"/>
      <c r="M37" s="14"/>
      <c r="N37" s="15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9">
        <v>36.0</v>
      </c>
      <c r="B38" s="10">
        <v>44081.0</v>
      </c>
      <c r="C38" s="9" t="s">
        <v>22</v>
      </c>
      <c r="D38" s="11" t="s">
        <v>101</v>
      </c>
      <c r="E38" s="9">
        <v>9.710566588129E12</v>
      </c>
      <c r="F38" s="12" t="s">
        <v>102</v>
      </c>
      <c r="G38" s="9" t="s">
        <v>57</v>
      </c>
      <c r="H38" s="9" t="s">
        <v>41</v>
      </c>
      <c r="I38" s="13"/>
      <c r="J38" s="13"/>
      <c r="K38" s="14"/>
      <c r="L38" s="13"/>
      <c r="M38" s="14"/>
      <c r="N38" s="15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9">
        <v>37.0</v>
      </c>
      <c r="B39" s="10">
        <v>44081.0</v>
      </c>
      <c r="C39" s="9" t="s">
        <v>22</v>
      </c>
      <c r="D39" s="11" t="s">
        <v>103</v>
      </c>
      <c r="E39" s="9">
        <v>9.710507972785E12</v>
      </c>
      <c r="F39" s="12" t="s">
        <v>104</v>
      </c>
      <c r="G39" s="9" t="s">
        <v>46</v>
      </c>
      <c r="H39" s="9" t="s">
        <v>13</v>
      </c>
      <c r="I39" s="13"/>
      <c r="J39" s="13"/>
      <c r="K39" s="14"/>
      <c r="L39" s="13"/>
      <c r="M39" s="14"/>
      <c r="N39" s="15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9">
        <v>38.0</v>
      </c>
      <c r="B40" s="10">
        <v>44086.0</v>
      </c>
      <c r="C40" s="9" t="s">
        <v>9</v>
      </c>
      <c r="D40" s="11" t="s">
        <v>105</v>
      </c>
      <c r="E40" s="9">
        <v>9.7156536001E11</v>
      </c>
      <c r="F40" s="12" t="s">
        <v>106</v>
      </c>
      <c r="G40" s="9" t="s">
        <v>35</v>
      </c>
      <c r="H40" s="9" t="s">
        <v>13</v>
      </c>
      <c r="I40" s="13"/>
      <c r="J40" s="13"/>
      <c r="K40" s="14"/>
      <c r="L40" s="13"/>
      <c r="M40" s="14"/>
      <c r="N40" s="15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9">
        <v>39.0</v>
      </c>
      <c r="B41" s="10">
        <v>44088.0</v>
      </c>
      <c r="C41" s="9" t="s">
        <v>22</v>
      </c>
      <c r="D41" s="11" t="s">
        <v>107</v>
      </c>
      <c r="E41" s="9">
        <v>9.71050277486E12</v>
      </c>
      <c r="F41" s="12" t="s">
        <v>108</v>
      </c>
      <c r="G41" s="9" t="s">
        <v>109</v>
      </c>
      <c r="H41" s="9" t="s">
        <v>13</v>
      </c>
      <c r="I41" s="13"/>
      <c r="J41" s="13"/>
      <c r="K41" s="14"/>
      <c r="L41" s="13"/>
      <c r="M41" s="14"/>
      <c r="N41" s="15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9">
        <v>40.0</v>
      </c>
      <c r="B42" s="10">
        <v>44088.0</v>
      </c>
      <c r="C42" s="9" t="s">
        <v>22</v>
      </c>
      <c r="D42" s="11" t="s">
        <v>110</v>
      </c>
      <c r="E42" s="9">
        <v>9.710501066683E12</v>
      </c>
      <c r="F42" s="12" t="s">
        <v>111</v>
      </c>
      <c r="G42" s="9" t="s">
        <v>12</v>
      </c>
      <c r="H42" s="9" t="s">
        <v>13</v>
      </c>
      <c r="I42" s="13"/>
      <c r="J42" s="13"/>
      <c r="K42" s="14"/>
      <c r="L42" s="13"/>
      <c r="M42" s="14"/>
      <c r="N42" s="15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9">
        <v>41.0</v>
      </c>
      <c r="B43" s="10">
        <v>44088.0</v>
      </c>
      <c r="C43" s="9" t="s">
        <v>9</v>
      </c>
      <c r="D43" s="16" t="s">
        <v>92</v>
      </c>
      <c r="E43" s="9">
        <v>9.71505023488E11</v>
      </c>
      <c r="F43" s="12" t="s">
        <v>112</v>
      </c>
      <c r="G43" s="9" t="s">
        <v>25</v>
      </c>
      <c r="H43" s="9" t="s">
        <v>13</v>
      </c>
      <c r="I43" s="13"/>
      <c r="J43" s="13"/>
      <c r="K43" s="14"/>
      <c r="L43" s="13"/>
      <c r="M43" s="14"/>
      <c r="N43" s="15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9">
        <v>42.0</v>
      </c>
      <c r="B44" s="10">
        <v>44088.0</v>
      </c>
      <c r="C44" s="9" t="s">
        <v>9</v>
      </c>
      <c r="D44" s="11" t="s">
        <v>113</v>
      </c>
      <c r="E44" s="9">
        <v>9.7105044322E12</v>
      </c>
      <c r="F44" s="12" t="s">
        <v>114</v>
      </c>
      <c r="G44" s="9" t="s">
        <v>96</v>
      </c>
      <c r="H44" s="9" t="s">
        <v>13</v>
      </c>
      <c r="I44" s="13"/>
      <c r="J44" s="13"/>
      <c r="K44" s="14"/>
      <c r="L44" s="13"/>
      <c r="M44" s="14"/>
      <c r="N44" s="15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9">
        <v>43.0</v>
      </c>
      <c r="B45" s="10">
        <v>44086.0</v>
      </c>
      <c r="C45" s="9" t="s">
        <v>9</v>
      </c>
      <c r="D45" s="11" t="s">
        <v>115</v>
      </c>
      <c r="E45" s="9">
        <v>9.710502571668E12</v>
      </c>
      <c r="F45" s="12" t="s">
        <v>116</v>
      </c>
      <c r="G45" s="9" t="s">
        <v>20</v>
      </c>
      <c r="H45" s="9" t="s">
        <v>13</v>
      </c>
      <c r="I45" s="13"/>
      <c r="J45" s="13"/>
      <c r="K45" s="14"/>
      <c r="L45" s="13"/>
      <c r="M45" s="14"/>
      <c r="N45" s="15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9">
        <v>44.0</v>
      </c>
      <c r="B46" s="10">
        <v>44079.0</v>
      </c>
      <c r="C46" s="9" t="s">
        <v>117</v>
      </c>
      <c r="D46" s="11" t="s">
        <v>118</v>
      </c>
      <c r="E46" s="9">
        <v>4.47795363288E11</v>
      </c>
      <c r="F46" s="12" t="s">
        <v>119</v>
      </c>
      <c r="G46" s="9" t="s">
        <v>120</v>
      </c>
      <c r="H46" s="9" t="s">
        <v>13</v>
      </c>
      <c r="I46" s="13"/>
      <c r="J46" s="13"/>
      <c r="K46" s="14"/>
      <c r="L46" s="13"/>
      <c r="M46" s="14"/>
      <c r="N46" s="15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9">
        <v>45.0</v>
      </c>
      <c r="B47" s="10">
        <v>44079.0</v>
      </c>
      <c r="C47" s="9" t="s">
        <v>117</v>
      </c>
      <c r="D47" s="11" t="s">
        <v>121</v>
      </c>
      <c r="E47" s="9">
        <v>4.47723812385E11</v>
      </c>
      <c r="F47" s="12" t="s">
        <v>122</v>
      </c>
      <c r="G47" s="9" t="s">
        <v>123</v>
      </c>
      <c r="H47" s="9" t="s">
        <v>13</v>
      </c>
      <c r="I47" s="13"/>
      <c r="J47" s="13"/>
      <c r="K47" s="14"/>
      <c r="L47" s="13"/>
      <c r="M47" s="14"/>
      <c r="N47" s="15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9">
        <v>46.0</v>
      </c>
      <c r="B48" s="10">
        <v>44079.0</v>
      </c>
      <c r="C48" s="9" t="s">
        <v>117</v>
      </c>
      <c r="D48" s="11" t="s">
        <v>124</v>
      </c>
      <c r="E48" s="9">
        <v>4.47826754981E11</v>
      </c>
      <c r="F48" s="12" t="s">
        <v>125</v>
      </c>
      <c r="G48" s="9" t="s">
        <v>123</v>
      </c>
      <c r="H48" s="9" t="s">
        <v>13</v>
      </c>
      <c r="I48" s="13"/>
      <c r="J48" s="13"/>
      <c r="K48" s="14"/>
      <c r="L48" s="13"/>
      <c r="M48" s="14"/>
      <c r="N48" s="15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9">
        <v>47.0</v>
      </c>
      <c r="B49" s="10">
        <v>44079.0</v>
      </c>
      <c r="C49" s="9" t="s">
        <v>126</v>
      </c>
      <c r="D49" s="16" t="s">
        <v>127</v>
      </c>
      <c r="E49" s="9">
        <v>9.66506465256E11</v>
      </c>
      <c r="F49" s="12" t="s">
        <v>128</v>
      </c>
      <c r="G49" s="9" t="s">
        <v>25</v>
      </c>
      <c r="H49" s="9" t="s">
        <v>13</v>
      </c>
      <c r="I49" s="13"/>
      <c r="J49" s="13"/>
      <c r="K49" s="14"/>
      <c r="L49" s="13"/>
      <c r="M49" s="14"/>
      <c r="N49" s="15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9">
        <v>48.0</v>
      </c>
      <c r="B50" s="10">
        <v>44079.0</v>
      </c>
      <c r="C50" s="9" t="s">
        <v>126</v>
      </c>
      <c r="D50" s="16" t="s">
        <v>129</v>
      </c>
      <c r="E50" s="9">
        <v>9.66572727659E11</v>
      </c>
      <c r="F50" s="12" t="s">
        <v>130</v>
      </c>
      <c r="G50" s="9" t="s">
        <v>131</v>
      </c>
      <c r="H50" s="9" t="s">
        <v>17</v>
      </c>
      <c r="I50" s="13"/>
      <c r="J50" s="13"/>
      <c r="K50" s="14"/>
      <c r="L50" s="13"/>
      <c r="M50" s="14"/>
      <c r="N50" s="15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9">
        <v>49.0</v>
      </c>
      <c r="B51" s="10">
        <v>44079.0</v>
      </c>
      <c r="C51" s="9" t="s">
        <v>22</v>
      </c>
      <c r="D51" s="11" t="s">
        <v>132</v>
      </c>
      <c r="E51" s="9">
        <v>9.71529803982E11</v>
      </c>
      <c r="F51" s="12" t="s">
        <v>133</v>
      </c>
      <c r="G51" s="9" t="s">
        <v>134</v>
      </c>
      <c r="H51" s="9" t="s">
        <v>41</v>
      </c>
      <c r="I51" s="13"/>
      <c r="J51" s="13"/>
      <c r="K51" s="14"/>
      <c r="L51" s="13"/>
      <c r="M51" s="14"/>
      <c r="N51" s="15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9">
        <v>50.0</v>
      </c>
      <c r="B52" s="10">
        <v>44075.0</v>
      </c>
      <c r="C52" s="9" t="s">
        <v>47</v>
      </c>
      <c r="D52" s="11" t="s">
        <v>135</v>
      </c>
      <c r="E52" s="9">
        <v>9.710508824447E12</v>
      </c>
      <c r="F52" s="12" t="s">
        <v>136</v>
      </c>
      <c r="G52" s="9" t="s">
        <v>46</v>
      </c>
      <c r="H52" s="9" t="s">
        <v>13</v>
      </c>
      <c r="I52" s="13"/>
      <c r="J52" s="13"/>
      <c r="K52" s="14"/>
      <c r="L52" s="13"/>
      <c r="M52" s="14"/>
      <c r="N52" s="15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9">
        <v>51.0</v>
      </c>
      <c r="B53" s="10">
        <v>44075.0</v>
      </c>
      <c r="C53" s="9" t="s">
        <v>22</v>
      </c>
      <c r="D53" s="11" t="s">
        <v>58</v>
      </c>
      <c r="E53" s="9">
        <v>3.20479191919E11</v>
      </c>
      <c r="F53" s="12" t="s">
        <v>137</v>
      </c>
      <c r="G53" s="9" t="s">
        <v>138</v>
      </c>
      <c r="H53" s="9" t="s">
        <v>17</v>
      </c>
      <c r="I53" s="13"/>
      <c r="J53" s="13"/>
      <c r="K53" s="14"/>
      <c r="L53" s="13"/>
      <c r="M53" s="14"/>
      <c r="N53" s="15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9">
        <v>52.0</v>
      </c>
      <c r="B54" s="10">
        <v>44075.0</v>
      </c>
      <c r="C54" s="9" t="s">
        <v>22</v>
      </c>
      <c r="D54" s="11" t="s">
        <v>139</v>
      </c>
      <c r="E54" s="9">
        <v>9.710561115582E12</v>
      </c>
      <c r="F54" s="12" t="s">
        <v>140</v>
      </c>
      <c r="G54" s="9" t="s">
        <v>25</v>
      </c>
      <c r="H54" s="9" t="s">
        <v>13</v>
      </c>
      <c r="I54" s="13"/>
      <c r="J54" s="13"/>
      <c r="K54" s="14"/>
      <c r="L54" s="13"/>
      <c r="M54" s="14"/>
      <c r="N54" s="15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9">
        <v>53.0</v>
      </c>
      <c r="B55" s="10">
        <v>44075.0</v>
      </c>
      <c r="C55" s="9" t="s">
        <v>47</v>
      </c>
      <c r="D55" s="11" t="s">
        <v>141</v>
      </c>
      <c r="E55" s="9">
        <v>9.6656790901E11</v>
      </c>
      <c r="F55" s="12" t="s">
        <v>142</v>
      </c>
      <c r="G55" s="9" t="s">
        <v>25</v>
      </c>
      <c r="H55" s="9" t="s">
        <v>13</v>
      </c>
      <c r="I55" s="13"/>
      <c r="J55" s="13"/>
      <c r="K55" s="14"/>
      <c r="L55" s="13"/>
      <c r="M55" s="14"/>
      <c r="N55" s="15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9">
        <v>54.0</v>
      </c>
      <c r="B56" s="10">
        <v>44075.0</v>
      </c>
      <c r="C56" s="9" t="s">
        <v>47</v>
      </c>
      <c r="D56" s="11" t="s">
        <v>143</v>
      </c>
      <c r="E56" s="9">
        <v>9.710554535162E12</v>
      </c>
      <c r="F56" s="12" t="s">
        <v>144</v>
      </c>
      <c r="G56" s="9" t="s">
        <v>60</v>
      </c>
      <c r="H56" s="9" t="s">
        <v>41</v>
      </c>
      <c r="I56" s="13"/>
      <c r="J56" s="13"/>
      <c r="K56" s="14"/>
      <c r="L56" s="13"/>
      <c r="M56" s="14"/>
      <c r="N56" s="15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9">
        <v>55.0</v>
      </c>
      <c r="B57" s="10">
        <v>44082.0</v>
      </c>
      <c r="C57" s="9" t="s">
        <v>47</v>
      </c>
      <c r="D57" s="16" t="s">
        <v>145</v>
      </c>
      <c r="E57" s="9">
        <v>9.669665045807E14</v>
      </c>
      <c r="F57" s="12" t="s">
        <v>146</v>
      </c>
      <c r="G57" s="9" t="s">
        <v>25</v>
      </c>
      <c r="H57" s="9" t="s">
        <v>13</v>
      </c>
      <c r="I57" s="13"/>
      <c r="J57" s="13"/>
      <c r="K57" s="14"/>
      <c r="L57" s="13"/>
      <c r="M57" s="14"/>
      <c r="N57" s="15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9">
        <v>56.0</v>
      </c>
      <c r="B58" s="10">
        <v>44082.0</v>
      </c>
      <c r="C58" s="9" t="s">
        <v>22</v>
      </c>
      <c r="D58" s="11" t="s">
        <v>147</v>
      </c>
      <c r="E58" s="9">
        <v>9.710553536E12</v>
      </c>
      <c r="F58" s="12" t="s">
        <v>148</v>
      </c>
      <c r="G58" s="9" t="s">
        <v>149</v>
      </c>
      <c r="H58" s="9" t="s">
        <v>13</v>
      </c>
      <c r="I58" s="13"/>
      <c r="J58" s="13"/>
      <c r="K58" s="14"/>
      <c r="L58" s="13"/>
      <c r="M58" s="14"/>
      <c r="N58" s="15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9">
        <v>57.0</v>
      </c>
      <c r="B59" s="10">
        <v>44074.0</v>
      </c>
      <c r="C59" s="9" t="s">
        <v>150</v>
      </c>
      <c r="D59" s="11" t="s">
        <v>151</v>
      </c>
      <c r="E59" s="9">
        <v>9.710529061295E12</v>
      </c>
      <c r="F59" s="12" t="s">
        <v>152</v>
      </c>
      <c r="G59" s="9" t="s">
        <v>57</v>
      </c>
      <c r="H59" s="9" t="s">
        <v>41</v>
      </c>
      <c r="I59" s="13"/>
      <c r="J59" s="13"/>
      <c r="K59" s="14"/>
      <c r="L59" s="13"/>
      <c r="M59" s="14"/>
      <c r="N59" s="15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9">
        <v>58.0</v>
      </c>
      <c r="B60" s="10">
        <v>44049.0</v>
      </c>
      <c r="C60" s="9" t="s">
        <v>47</v>
      </c>
      <c r="D60" s="11" t="s">
        <v>153</v>
      </c>
      <c r="E60" s="17">
        <f>+9710555999463</f>
        <v>9710555999463</v>
      </c>
      <c r="F60" s="12" t="s">
        <v>154</v>
      </c>
      <c r="G60" s="9" t="s">
        <v>60</v>
      </c>
      <c r="H60" s="9" t="s">
        <v>41</v>
      </c>
      <c r="I60" s="13"/>
      <c r="J60" s="13"/>
      <c r="K60" s="14"/>
      <c r="L60" s="13"/>
      <c r="M60" s="14"/>
      <c r="N60" s="15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9">
        <v>59.0</v>
      </c>
      <c r="B61" s="10">
        <v>44059.0</v>
      </c>
      <c r="C61" s="9" t="s">
        <v>22</v>
      </c>
      <c r="D61" s="16" t="s">
        <v>155</v>
      </c>
      <c r="E61" s="9">
        <v>9.710551500494E12</v>
      </c>
      <c r="F61" s="12" t="s">
        <v>156</v>
      </c>
      <c r="G61" s="9" t="s">
        <v>57</v>
      </c>
      <c r="H61" s="9" t="s">
        <v>17</v>
      </c>
      <c r="I61" s="13"/>
      <c r="J61" s="13"/>
      <c r="K61" s="14"/>
      <c r="L61" s="13"/>
      <c r="M61" s="14"/>
      <c r="N61" s="15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9">
        <v>60.0</v>
      </c>
      <c r="B62" s="10">
        <v>44072.0</v>
      </c>
      <c r="C62" s="9" t="s">
        <v>22</v>
      </c>
      <c r="D62" s="16" t="s">
        <v>157</v>
      </c>
      <c r="E62" s="9">
        <v>9.710501227553E12</v>
      </c>
      <c r="F62" s="12" t="s">
        <v>158</v>
      </c>
      <c r="G62" s="9" t="s">
        <v>25</v>
      </c>
      <c r="H62" s="9" t="s">
        <v>13</v>
      </c>
      <c r="I62" s="13"/>
      <c r="J62" s="13"/>
      <c r="K62" s="14"/>
      <c r="L62" s="13"/>
      <c r="M62" s="14"/>
      <c r="N62" s="15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9">
        <v>61.0</v>
      </c>
      <c r="B63" s="10">
        <v>44072.0</v>
      </c>
      <c r="C63" s="9" t="s">
        <v>22</v>
      </c>
      <c r="D63" s="16" t="s">
        <v>159</v>
      </c>
      <c r="E63" s="9">
        <v>9.710507799987E12</v>
      </c>
      <c r="F63" s="12" t="s">
        <v>160</v>
      </c>
      <c r="G63" s="9" t="s">
        <v>25</v>
      </c>
      <c r="H63" s="9" t="s">
        <v>13</v>
      </c>
      <c r="I63" s="13"/>
      <c r="J63" s="13"/>
      <c r="K63" s="14"/>
      <c r="L63" s="13"/>
      <c r="M63" s="14"/>
      <c r="N63" s="15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9">
        <v>62.0</v>
      </c>
      <c r="B64" s="10">
        <v>44059.0</v>
      </c>
      <c r="C64" s="9" t="s">
        <v>47</v>
      </c>
      <c r="D64" s="11" t="s">
        <v>161</v>
      </c>
      <c r="E64" s="9">
        <v>9.7154582266E11</v>
      </c>
      <c r="F64" s="12" t="s">
        <v>162</v>
      </c>
      <c r="G64" s="9" t="s">
        <v>52</v>
      </c>
      <c r="H64" s="9" t="s">
        <v>17</v>
      </c>
      <c r="I64" s="13"/>
      <c r="J64" s="13"/>
      <c r="K64" s="14"/>
      <c r="L64" s="13"/>
      <c r="M64" s="14"/>
      <c r="N64" s="15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9">
        <v>63.0</v>
      </c>
      <c r="B65" s="10">
        <v>44059.0</v>
      </c>
      <c r="C65" s="9" t="s">
        <v>47</v>
      </c>
      <c r="D65" s="11" t="s">
        <v>163</v>
      </c>
      <c r="E65" s="9">
        <v>9.71505661052E11</v>
      </c>
      <c r="F65" s="12" t="s">
        <v>164</v>
      </c>
      <c r="G65" s="9" t="s">
        <v>52</v>
      </c>
      <c r="H65" s="9" t="s">
        <v>17</v>
      </c>
      <c r="I65" s="13"/>
      <c r="J65" s="13"/>
      <c r="K65" s="14"/>
      <c r="L65" s="13"/>
      <c r="M65" s="14"/>
      <c r="N65" s="15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9">
        <v>64.0</v>
      </c>
      <c r="B66" s="10">
        <v>44068.0</v>
      </c>
      <c r="C66" s="9" t="s">
        <v>22</v>
      </c>
      <c r="D66" s="11" t="s">
        <v>165</v>
      </c>
      <c r="E66" s="9">
        <v>9.710504894466E12</v>
      </c>
      <c r="F66" s="12" t="s">
        <v>166</v>
      </c>
      <c r="G66" s="9" t="s">
        <v>57</v>
      </c>
      <c r="H66" s="9" t="s">
        <v>17</v>
      </c>
      <c r="I66" s="13"/>
      <c r="J66" s="13"/>
      <c r="K66" s="14"/>
      <c r="L66" s="13"/>
      <c r="M66" s="14"/>
      <c r="N66" s="15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9">
        <v>65.0</v>
      </c>
      <c r="B67" s="10">
        <v>44068.0</v>
      </c>
      <c r="C67" s="9" t="s">
        <v>22</v>
      </c>
      <c r="D67" s="11" t="s">
        <v>167</v>
      </c>
      <c r="E67" s="9">
        <v>9.710508516966E12</v>
      </c>
      <c r="F67" s="12" t="s">
        <v>168</v>
      </c>
      <c r="G67" s="9" t="s">
        <v>57</v>
      </c>
      <c r="H67" s="9" t="s">
        <v>17</v>
      </c>
      <c r="I67" s="13"/>
      <c r="J67" s="13"/>
      <c r="K67" s="14"/>
      <c r="L67" s="13"/>
      <c r="M67" s="14"/>
      <c r="N67" s="15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9">
        <v>66.0</v>
      </c>
      <c r="B68" s="10">
        <v>44068.0</v>
      </c>
      <c r="C68" s="9" t="s">
        <v>22</v>
      </c>
      <c r="D68" s="16" t="s">
        <v>169</v>
      </c>
      <c r="E68" s="9">
        <v>9.71509666686E11</v>
      </c>
      <c r="F68" s="12" t="s">
        <v>170</v>
      </c>
      <c r="G68" s="9" t="s">
        <v>57</v>
      </c>
      <c r="H68" s="9" t="s">
        <v>17</v>
      </c>
      <c r="I68" s="13"/>
      <c r="J68" s="13"/>
      <c r="K68" s="14"/>
      <c r="L68" s="13"/>
      <c r="M68" s="14"/>
      <c r="N68" s="15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9">
        <v>67.0</v>
      </c>
      <c r="B69" s="10">
        <v>44068.0</v>
      </c>
      <c r="C69" s="9" t="s">
        <v>22</v>
      </c>
      <c r="D69" s="16" t="s">
        <v>171</v>
      </c>
      <c r="E69" s="9">
        <v>9.7150649779E11</v>
      </c>
      <c r="F69" s="12" t="s">
        <v>172</v>
      </c>
      <c r="G69" s="9" t="s">
        <v>57</v>
      </c>
      <c r="H69" s="9" t="s">
        <v>17</v>
      </c>
      <c r="I69" s="13"/>
      <c r="J69" s="13"/>
      <c r="K69" s="14"/>
      <c r="L69" s="13"/>
      <c r="M69" s="14"/>
      <c r="N69" s="15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9">
        <v>68.0</v>
      </c>
      <c r="B70" s="10">
        <v>44063.0</v>
      </c>
      <c r="C70" s="9" t="s">
        <v>173</v>
      </c>
      <c r="D70" s="11" t="s">
        <v>174</v>
      </c>
      <c r="E70" s="9">
        <v>9.710526391113E12</v>
      </c>
      <c r="F70" s="12" t="s">
        <v>175</v>
      </c>
      <c r="G70" s="9" t="s">
        <v>176</v>
      </c>
      <c r="H70" s="9" t="s">
        <v>81</v>
      </c>
      <c r="I70" s="13"/>
      <c r="J70" s="13"/>
      <c r="K70" s="14"/>
      <c r="L70" s="13"/>
      <c r="M70" s="14"/>
      <c r="N70" s="15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9">
        <v>69.0</v>
      </c>
      <c r="B71" s="10">
        <v>44059.0</v>
      </c>
      <c r="C71" s="9" t="s">
        <v>47</v>
      </c>
      <c r="D71" s="11" t="s">
        <v>177</v>
      </c>
      <c r="E71" s="9">
        <v>9.710555620238E12</v>
      </c>
      <c r="F71" s="12" t="s">
        <v>178</v>
      </c>
      <c r="G71" s="9" t="s">
        <v>149</v>
      </c>
      <c r="H71" s="9" t="s">
        <v>13</v>
      </c>
      <c r="I71" s="13"/>
      <c r="J71" s="13"/>
      <c r="K71" s="14"/>
      <c r="L71" s="13"/>
      <c r="M71" s="14"/>
      <c r="N71" s="15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9">
        <v>70.0</v>
      </c>
      <c r="B72" s="10">
        <v>44068.0</v>
      </c>
      <c r="C72" s="9" t="s">
        <v>22</v>
      </c>
      <c r="D72" s="11" t="s">
        <v>179</v>
      </c>
      <c r="E72" s="9">
        <v>9.710553520968E12</v>
      </c>
      <c r="F72" s="12" t="s">
        <v>180</v>
      </c>
      <c r="G72" s="9" t="s">
        <v>181</v>
      </c>
      <c r="H72" s="9" t="s">
        <v>17</v>
      </c>
      <c r="I72" s="13"/>
      <c r="J72" s="13"/>
      <c r="K72" s="14"/>
      <c r="L72" s="13"/>
      <c r="M72" s="14"/>
      <c r="N72" s="15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9">
        <v>71.0</v>
      </c>
      <c r="B73" s="10">
        <v>44068.0</v>
      </c>
      <c r="C73" s="9" t="s">
        <v>47</v>
      </c>
      <c r="D73" s="16" t="s">
        <v>182</v>
      </c>
      <c r="E73" s="9">
        <v>9.6655514021E10</v>
      </c>
      <c r="F73" s="12" t="s">
        <v>183</v>
      </c>
      <c r="G73" s="9" t="s">
        <v>184</v>
      </c>
      <c r="H73" s="9" t="s">
        <v>13</v>
      </c>
      <c r="I73" s="13"/>
      <c r="J73" s="13"/>
      <c r="K73" s="14"/>
      <c r="L73" s="13"/>
      <c r="M73" s="14"/>
      <c r="N73" s="15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9">
        <v>72.0</v>
      </c>
      <c r="B74" s="10">
        <v>44058.0</v>
      </c>
      <c r="C74" s="9" t="s">
        <v>47</v>
      </c>
      <c r="D74" s="11" t="s">
        <v>185</v>
      </c>
      <c r="E74" s="9">
        <v>9.71506375677E11</v>
      </c>
      <c r="F74" s="12" t="s">
        <v>186</v>
      </c>
      <c r="G74" s="9" t="s">
        <v>187</v>
      </c>
      <c r="H74" s="9" t="s">
        <v>41</v>
      </c>
      <c r="I74" s="13"/>
      <c r="J74" s="13"/>
      <c r="K74" s="14"/>
      <c r="L74" s="13"/>
      <c r="M74" s="14"/>
      <c r="N74" s="15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9">
        <v>73.0</v>
      </c>
      <c r="B75" s="10">
        <v>44058.0</v>
      </c>
      <c r="C75" s="9" t="s">
        <v>47</v>
      </c>
      <c r="D75" s="11" t="s">
        <v>188</v>
      </c>
      <c r="E75" s="9">
        <v>9.71506338716E11</v>
      </c>
      <c r="F75" s="12" t="s">
        <v>189</v>
      </c>
      <c r="G75" s="9" t="s">
        <v>190</v>
      </c>
      <c r="H75" s="9" t="s">
        <v>13</v>
      </c>
      <c r="I75" s="13"/>
      <c r="J75" s="13"/>
      <c r="K75" s="14"/>
      <c r="L75" s="13"/>
      <c r="M75" s="14"/>
      <c r="N75" s="15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9">
        <v>74.0</v>
      </c>
      <c r="B76" s="10">
        <v>44058.0</v>
      </c>
      <c r="C76" s="9" t="s">
        <v>47</v>
      </c>
      <c r="D76" s="11" t="s">
        <v>191</v>
      </c>
      <c r="E76" s="9">
        <v>2.56702973885E11</v>
      </c>
      <c r="F76" s="12" t="s">
        <v>192</v>
      </c>
      <c r="G76" s="9" t="s">
        <v>190</v>
      </c>
      <c r="H76" s="9" t="s">
        <v>13</v>
      </c>
      <c r="I76" s="13"/>
      <c r="J76" s="13"/>
      <c r="K76" s="14"/>
      <c r="L76" s="13"/>
      <c r="M76" s="14"/>
      <c r="N76" s="15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9">
        <v>75.0</v>
      </c>
      <c r="B77" s="10">
        <v>44058.0</v>
      </c>
      <c r="C77" s="9" t="s">
        <v>47</v>
      </c>
      <c r="D77" s="11" t="s">
        <v>193</v>
      </c>
      <c r="E77" s="9">
        <v>9.71502252087E11</v>
      </c>
      <c r="F77" s="12" t="s">
        <v>194</v>
      </c>
      <c r="G77" s="9" t="s">
        <v>190</v>
      </c>
      <c r="H77" s="9" t="s">
        <v>13</v>
      </c>
      <c r="I77" s="13"/>
      <c r="J77" s="13"/>
      <c r="K77" s="14"/>
      <c r="L77" s="13"/>
      <c r="M77" s="14"/>
      <c r="N77" s="15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9">
        <v>76.0</v>
      </c>
      <c r="B78" s="10">
        <v>44069.0</v>
      </c>
      <c r="C78" s="9" t="s">
        <v>47</v>
      </c>
      <c r="D78" s="16" t="s">
        <v>195</v>
      </c>
      <c r="E78" s="9">
        <v>9.66557405665E11</v>
      </c>
      <c r="F78" s="12" t="s">
        <v>196</v>
      </c>
      <c r="G78" s="9" t="s">
        <v>57</v>
      </c>
      <c r="H78" s="9" t="s">
        <v>41</v>
      </c>
      <c r="I78" s="13"/>
      <c r="J78" s="13"/>
      <c r="K78" s="14"/>
      <c r="L78" s="13"/>
      <c r="M78" s="14"/>
      <c r="N78" s="15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9">
        <v>77.0</v>
      </c>
      <c r="B79" s="10">
        <v>44058.0</v>
      </c>
      <c r="C79" s="9" t="s">
        <v>47</v>
      </c>
      <c r="D79" s="11" t="s">
        <v>197</v>
      </c>
      <c r="E79" s="9">
        <v>9.71501551364E11</v>
      </c>
      <c r="F79" s="12" t="s">
        <v>198</v>
      </c>
      <c r="G79" s="9" t="s">
        <v>199</v>
      </c>
      <c r="H79" s="9" t="s">
        <v>41</v>
      </c>
      <c r="I79" s="13"/>
      <c r="J79" s="13"/>
      <c r="K79" s="14"/>
      <c r="L79" s="13"/>
      <c r="M79" s="14"/>
      <c r="N79" s="15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9">
        <v>78.0</v>
      </c>
      <c r="B80" s="10">
        <v>44067.0</v>
      </c>
      <c r="C80" s="9" t="s">
        <v>22</v>
      </c>
      <c r="D80" s="16" t="s">
        <v>200</v>
      </c>
      <c r="E80" s="9">
        <v>9.71555553809E11</v>
      </c>
      <c r="F80" s="12" t="s">
        <v>201</v>
      </c>
      <c r="G80" s="9" t="s">
        <v>57</v>
      </c>
      <c r="H80" s="9" t="s">
        <v>41</v>
      </c>
      <c r="I80" s="13"/>
      <c r="J80" s="13"/>
      <c r="K80" s="14"/>
      <c r="L80" s="13"/>
      <c r="M80" s="14"/>
      <c r="N80" s="15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9">
        <v>79.0</v>
      </c>
      <c r="B81" s="10">
        <v>44067.0</v>
      </c>
      <c r="C81" s="9" t="s">
        <v>47</v>
      </c>
      <c r="D81" s="11" t="s">
        <v>202</v>
      </c>
      <c r="E81" s="9">
        <v>9.660507537523E12</v>
      </c>
      <c r="F81" s="12" t="s">
        <v>203</v>
      </c>
      <c r="G81" s="9" t="s">
        <v>52</v>
      </c>
      <c r="H81" s="9" t="s">
        <v>41</v>
      </c>
      <c r="I81" s="13"/>
      <c r="J81" s="13"/>
      <c r="K81" s="14"/>
      <c r="L81" s="13"/>
      <c r="M81" s="14"/>
      <c r="N81" s="15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9">
        <v>80.0</v>
      </c>
      <c r="B82" s="10">
        <v>44067.0</v>
      </c>
      <c r="C82" s="9" t="s">
        <v>47</v>
      </c>
      <c r="D82" s="11" t="s">
        <v>204</v>
      </c>
      <c r="E82" s="9">
        <v>9.71506164438E11</v>
      </c>
      <c r="F82" s="12" t="s">
        <v>205</v>
      </c>
      <c r="G82" s="9" t="s">
        <v>176</v>
      </c>
      <c r="H82" s="9" t="s">
        <v>206</v>
      </c>
      <c r="I82" s="13"/>
      <c r="J82" s="13"/>
      <c r="K82" s="14"/>
      <c r="L82" s="13"/>
      <c r="M82" s="14"/>
      <c r="N82" s="15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9">
        <v>81.0</v>
      </c>
      <c r="B83" s="10">
        <v>44060.0</v>
      </c>
      <c r="C83" s="9" t="s">
        <v>22</v>
      </c>
      <c r="D83" s="11" t="s">
        <v>207</v>
      </c>
      <c r="E83" s="9">
        <v>9.71501491776E11</v>
      </c>
      <c r="F83" s="12" t="s">
        <v>208</v>
      </c>
      <c r="G83" s="9" t="s">
        <v>190</v>
      </c>
      <c r="H83" s="9" t="s">
        <v>13</v>
      </c>
      <c r="I83" s="13"/>
      <c r="J83" s="13"/>
      <c r="K83" s="14"/>
      <c r="L83" s="13"/>
      <c r="M83" s="14"/>
      <c r="N83" s="15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9">
        <v>82.0</v>
      </c>
      <c r="B84" s="10">
        <v>44067.0</v>
      </c>
      <c r="C84" s="9" t="s">
        <v>22</v>
      </c>
      <c r="D84" s="16" t="s">
        <v>209</v>
      </c>
      <c r="E84" s="9">
        <v>9.710503332447E12</v>
      </c>
      <c r="F84" s="12" t="s">
        <v>210</v>
      </c>
      <c r="G84" s="9" t="s">
        <v>57</v>
      </c>
      <c r="H84" s="9" t="s">
        <v>41</v>
      </c>
      <c r="I84" s="13"/>
      <c r="J84" s="13"/>
      <c r="K84" s="14"/>
      <c r="L84" s="13"/>
      <c r="M84" s="14"/>
      <c r="N84" s="15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9">
        <v>83.0</v>
      </c>
      <c r="B85" s="10">
        <v>44068.0</v>
      </c>
      <c r="C85" s="9" t="s">
        <v>47</v>
      </c>
      <c r="D85" s="11" t="s">
        <v>211</v>
      </c>
      <c r="E85" s="9">
        <v>9.71504602589E11</v>
      </c>
      <c r="F85" s="12" t="s">
        <v>212</v>
      </c>
      <c r="G85" s="9" t="s">
        <v>176</v>
      </c>
      <c r="H85" s="9" t="s">
        <v>81</v>
      </c>
      <c r="I85" s="13"/>
      <c r="J85" s="13"/>
      <c r="K85" s="14"/>
      <c r="L85" s="13"/>
      <c r="M85" s="14"/>
      <c r="N85" s="15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9">
        <v>84.0</v>
      </c>
      <c r="B86" s="10">
        <v>44060.0</v>
      </c>
      <c r="C86" s="9" t="s">
        <v>22</v>
      </c>
      <c r="D86" s="16" t="s">
        <v>213</v>
      </c>
      <c r="E86" s="9">
        <v>9.71050490777E12</v>
      </c>
      <c r="F86" s="12" t="s">
        <v>214</v>
      </c>
      <c r="G86" s="9" t="s">
        <v>190</v>
      </c>
      <c r="H86" s="9" t="s">
        <v>13</v>
      </c>
      <c r="I86" s="13"/>
      <c r="J86" s="13"/>
      <c r="K86" s="14"/>
      <c r="L86" s="13"/>
      <c r="M86" s="14"/>
      <c r="N86" s="15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9">
        <v>85.0</v>
      </c>
      <c r="B87" s="10">
        <v>44059.0</v>
      </c>
      <c r="C87" s="9" t="s">
        <v>47</v>
      </c>
      <c r="D87" s="11" t="s">
        <v>215</v>
      </c>
      <c r="E87" s="9">
        <v>9.71506657875E11</v>
      </c>
      <c r="F87" s="12" t="s">
        <v>216</v>
      </c>
      <c r="G87" s="9" t="s">
        <v>181</v>
      </c>
      <c r="H87" s="9" t="s">
        <v>17</v>
      </c>
      <c r="I87" s="13"/>
      <c r="J87" s="13"/>
      <c r="K87" s="14"/>
      <c r="L87" s="13"/>
      <c r="M87" s="14"/>
      <c r="N87" s="15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9">
        <v>86.0</v>
      </c>
      <c r="B88" s="10">
        <v>44059.0</v>
      </c>
      <c r="C88" s="9" t="s">
        <v>47</v>
      </c>
      <c r="D88" s="11" t="s">
        <v>217</v>
      </c>
      <c r="E88" s="9">
        <v>9.710504813172E12</v>
      </c>
      <c r="F88" s="12" t="s">
        <v>218</v>
      </c>
      <c r="G88" s="9" t="s">
        <v>35</v>
      </c>
      <c r="H88" s="9" t="s">
        <v>206</v>
      </c>
      <c r="I88" s="13"/>
      <c r="J88" s="13"/>
      <c r="K88" s="14"/>
      <c r="L88" s="13"/>
      <c r="M88" s="14"/>
      <c r="N88" s="15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9">
        <v>87.0</v>
      </c>
      <c r="B89" s="10">
        <v>44060.0</v>
      </c>
      <c r="C89" s="9" t="s">
        <v>47</v>
      </c>
      <c r="D89" s="16" t="s">
        <v>219</v>
      </c>
      <c r="E89" s="9">
        <v>9.710538803952E12</v>
      </c>
      <c r="F89" s="12" t="s">
        <v>220</v>
      </c>
      <c r="G89" s="9" t="s">
        <v>25</v>
      </c>
      <c r="H89" s="9" t="s">
        <v>13</v>
      </c>
      <c r="I89" s="13"/>
      <c r="J89" s="13"/>
      <c r="K89" s="14"/>
      <c r="L89" s="13"/>
      <c r="M89" s="14"/>
      <c r="N89" s="15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9">
        <v>88.0</v>
      </c>
      <c r="B90" s="10">
        <v>44058.0</v>
      </c>
      <c r="C90" s="9" t="s">
        <v>47</v>
      </c>
      <c r="D90" s="11" t="s">
        <v>221</v>
      </c>
      <c r="E90" s="9">
        <v>9.71582477876E11</v>
      </c>
      <c r="F90" s="12" t="s">
        <v>222</v>
      </c>
      <c r="G90" s="9" t="s">
        <v>199</v>
      </c>
      <c r="H90" s="9" t="s">
        <v>17</v>
      </c>
      <c r="I90" s="13"/>
      <c r="J90" s="13"/>
      <c r="K90" s="14"/>
      <c r="L90" s="13"/>
      <c r="M90" s="14"/>
      <c r="N90" s="15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9">
        <v>89.0</v>
      </c>
      <c r="B91" s="10">
        <v>44067.0</v>
      </c>
      <c r="C91" s="9" t="s">
        <v>47</v>
      </c>
      <c r="D91" s="16" t="s">
        <v>223</v>
      </c>
      <c r="E91" s="9">
        <v>9.66544233015E11</v>
      </c>
      <c r="F91" s="12" t="s">
        <v>224</v>
      </c>
      <c r="G91" s="9" t="s">
        <v>57</v>
      </c>
      <c r="H91" s="9" t="s">
        <v>17</v>
      </c>
      <c r="I91" s="13"/>
      <c r="J91" s="13"/>
      <c r="K91" s="14"/>
      <c r="L91" s="13"/>
      <c r="M91" s="14"/>
      <c r="N91" s="15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9">
        <v>90.0</v>
      </c>
      <c r="B92" s="10">
        <v>44059.0</v>
      </c>
      <c r="C92" s="9" t="s">
        <v>22</v>
      </c>
      <c r="D92" s="16" t="s">
        <v>225</v>
      </c>
      <c r="E92" s="9">
        <v>9.660555044441E12</v>
      </c>
      <c r="F92" s="12" t="s">
        <v>226</v>
      </c>
      <c r="G92" s="9" t="s">
        <v>25</v>
      </c>
      <c r="H92" s="9" t="s">
        <v>13</v>
      </c>
      <c r="I92" s="13"/>
      <c r="J92" s="13"/>
      <c r="K92" s="14"/>
      <c r="L92" s="13"/>
      <c r="M92" s="14"/>
      <c r="N92" s="15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9">
        <v>91.0</v>
      </c>
      <c r="B93" s="10">
        <v>44067.0</v>
      </c>
      <c r="C93" s="9" t="s">
        <v>47</v>
      </c>
      <c r="D93" s="16" t="s">
        <v>227</v>
      </c>
      <c r="E93" s="9">
        <v>9.6650059958E11</v>
      </c>
      <c r="F93" s="12" t="s">
        <v>228</v>
      </c>
      <c r="G93" s="9" t="s">
        <v>57</v>
      </c>
      <c r="H93" s="9" t="s">
        <v>17</v>
      </c>
      <c r="I93" s="13"/>
      <c r="J93" s="13"/>
      <c r="K93" s="14"/>
      <c r="L93" s="13"/>
      <c r="M93" s="14"/>
      <c r="N93" s="15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9">
        <v>92.0</v>
      </c>
      <c r="B94" s="10">
        <v>44067.0</v>
      </c>
      <c r="C94" s="9" t="s">
        <v>47</v>
      </c>
      <c r="D94" s="11" t="s">
        <v>229</v>
      </c>
      <c r="E94" s="9">
        <v>9.66507888555E11</v>
      </c>
      <c r="F94" s="12" t="s">
        <v>230</v>
      </c>
      <c r="G94" s="9" t="s">
        <v>57</v>
      </c>
      <c r="H94" s="9" t="s">
        <v>17</v>
      </c>
      <c r="I94" s="13"/>
      <c r="J94" s="13"/>
      <c r="K94" s="14"/>
      <c r="L94" s="13"/>
      <c r="M94" s="14"/>
      <c r="N94" s="15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9">
        <v>93.0</v>
      </c>
      <c r="B95" s="10">
        <v>44067.0</v>
      </c>
      <c r="C95" s="9" t="s">
        <v>47</v>
      </c>
      <c r="D95" s="11" t="s">
        <v>231</v>
      </c>
      <c r="E95" s="9">
        <v>9.66555508348E11</v>
      </c>
      <c r="F95" s="12" t="s">
        <v>232</v>
      </c>
      <c r="G95" s="9" t="s">
        <v>57</v>
      </c>
      <c r="H95" s="9" t="s">
        <v>41</v>
      </c>
      <c r="I95" s="13"/>
      <c r="J95" s="13"/>
      <c r="K95" s="14"/>
      <c r="L95" s="13"/>
      <c r="M95" s="14"/>
      <c r="N95" s="15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9">
        <v>94.0</v>
      </c>
      <c r="B96" s="10">
        <v>44058.0</v>
      </c>
      <c r="C96" s="9" t="s">
        <v>47</v>
      </c>
      <c r="D96" s="11" t="s">
        <v>233</v>
      </c>
      <c r="E96" s="9">
        <v>9.710551838463E12</v>
      </c>
      <c r="F96" s="12" t="s">
        <v>234</v>
      </c>
      <c r="G96" s="9" t="s">
        <v>190</v>
      </c>
      <c r="H96" s="9" t="s">
        <v>13</v>
      </c>
      <c r="I96" s="13"/>
      <c r="J96" s="13"/>
      <c r="K96" s="14"/>
      <c r="L96" s="13"/>
      <c r="M96" s="14"/>
      <c r="N96" s="15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9">
        <v>95.0</v>
      </c>
      <c r="B97" s="10">
        <v>44058.0</v>
      </c>
      <c r="C97" s="9" t="s">
        <v>47</v>
      </c>
      <c r="D97" s="11" t="s">
        <v>235</v>
      </c>
      <c r="E97" s="9">
        <v>9.710554848101E12</v>
      </c>
      <c r="F97" s="12" t="s">
        <v>236</v>
      </c>
      <c r="G97" s="9" t="s">
        <v>80</v>
      </c>
      <c r="H97" s="9" t="s">
        <v>17</v>
      </c>
      <c r="I97" s="13"/>
      <c r="J97" s="13"/>
      <c r="K97" s="14"/>
      <c r="L97" s="13"/>
      <c r="M97" s="14"/>
      <c r="N97" s="15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9">
        <v>96.0</v>
      </c>
      <c r="B98" s="10">
        <v>44058.0</v>
      </c>
      <c r="C98" s="9" t="s">
        <v>47</v>
      </c>
      <c r="D98" s="11" t="s">
        <v>237</v>
      </c>
      <c r="E98" s="9">
        <v>8.618620100771E12</v>
      </c>
      <c r="F98" s="12" t="s">
        <v>238</v>
      </c>
      <c r="G98" s="9" t="s">
        <v>120</v>
      </c>
      <c r="H98" s="9" t="s">
        <v>13</v>
      </c>
      <c r="I98" s="13"/>
      <c r="J98" s="13"/>
      <c r="K98" s="14"/>
      <c r="L98" s="13"/>
      <c r="M98" s="14"/>
      <c r="N98" s="15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9">
        <v>97.0</v>
      </c>
      <c r="B99" s="10">
        <v>44060.0</v>
      </c>
      <c r="C99" s="9" t="s">
        <v>22</v>
      </c>
      <c r="D99" s="16" t="s">
        <v>239</v>
      </c>
      <c r="E99" s="9">
        <v>9.710505999497E12</v>
      </c>
      <c r="F99" s="12" t="s">
        <v>240</v>
      </c>
      <c r="G99" s="9" t="s">
        <v>25</v>
      </c>
      <c r="H99" s="9" t="s">
        <v>13</v>
      </c>
      <c r="I99" s="13"/>
      <c r="J99" s="13"/>
      <c r="K99" s="14"/>
      <c r="L99" s="13"/>
      <c r="M99" s="14"/>
      <c r="N99" s="15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9">
        <v>98.0</v>
      </c>
      <c r="B100" s="10">
        <v>44060.0</v>
      </c>
      <c r="C100" s="9" t="s">
        <v>22</v>
      </c>
      <c r="D100" s="16" t="s">
        <v>241</v>
      </c>
      <c r="E100" s="9">
        <v>9.710501144413E12</v>
      </c>
      <c r="F100" s="12" t="s">
        <v>242</v>
      </c>
      <c r="G100" s="9" t="s">
        <v>57</v>
      </c>
      <c r="H100" s="9" t="s">
        <v>17</v>
      </c>
      <c r="I100" s="13"/>
      <c r="J100" s="13"/>
      <c r="K100" s="14"/>
      <c r="L100" s="13"/>
      <c r="M100" s="14"/>
      <c r="N100" s="15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9">
        <v>99.0</v>
      </c>
      <c r="B101" s="10">
        <v>44068.0</v>
      </c>
      <c r="C101" s="9" t="s">
        <v>47</v>
      </c>
      <c r="D101" s="11" t="s">
        <v>243</v>
      </c>
      <c r="E101" s="9">
        <v>9.660549133566E12</v>
      </c>
      <c r="F101" s="12" t="s">
        <v>244</v>
      </c>
      <c r="G101" s="9" t="s">
        <v>57</v>
      </c>
      <c r="H101" s="9" t="s">
        <v>17</v>
      </c>
      <c r="I101" s="13"/>
      <c r="J101" s="13"/>
      <c r="K101" s="14"/>
      <c r="L101" s="13"/>
      <c r="M101" s="14"/>
      <c r="N101" s="15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9">
        <v>100.0</v>
      </c>
      <c r="B102" s="18">
        <v>44059.0</v>
      </c>
      <c r="C102" s="19" t="s">
        <v>22</v>
      </c>
      <c r="D102" s="11" t="s">
        <v>245</v>
      </c>
      <c r="E102" s="19">
        <v>9.66053227719E12</v>
      </c>
      <c r="F102" s="12" t="s">
        <v>246</v>
      </c>
      <c r="G102" s="19" t="s">
        <v>25</v>
      </c>
      <c r="H102" s="19" t="s">
        <v>13</v>
      </c>
      <c r="I102" s="13"/>
      <c r="J102" s="13"/>
      <c r="K102" s="20"/>
      <c r="L102" s="13"/>
      <c r="M102" s="20"/>
      <c r="N102" s="21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9">
        <v>101.0</v>
      </c>
      <c r="B103" s="10">
        <v>44059.0</v>
      </c>
      <c r="C103" s="9" t="s">
        <v>22</v>
      </c>
      <c r="D103" s="11" t="s">
        <v>247</v>
      </c>
      <c r="E103" s="9">
        <v>9.710501473367E12</v>
      </c>
      <c r="F103" s="12" t="s">
        <v>248</v>
      </c>
      <c r="G103" s="9" t="s">
        <v>249</v>
      </c>
      <c r="H103" s="9" t="s">
        <v>17</v>
      </c>
      <c r="I103" s="13"/>
      <c r="J103" s="13"/>
      <c r="K103" s="14"/>
      <c r="L103" s="13"/>
      <c r="M103" s="14"/>
      <c r="N103" s="15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9">
        <v>102.0</v>
      </c>
      <c r="B104" s="10">
        <v>44059.0</v>
      </c>
      <c r="C104" s="9" t="s">
        <v>22</v>
      </c>
      <c r="D104" s="16" t="s">
        <v>250</v>
      </c>
      <c r="E104" s="9">
        <v>9.660533336465E12</v>
      </c>
      <c r="F104" s="12" t="s">
        <v>251</v>
      </c>
      <c r="G104" s="9" t="s">
        <v>25</v>
      </c>
      <c r="H104" s="9" t="s">
        <v>13</v>
      </c>
      <c r="I104" s="13"/>
      <c r="J104" s="13"/>
      <c r="K104" s="14"/>
      <c r="L104" s="13"/>
      <c r="M104" s="14"/>
      <c r="N104" s="15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9">
        <v>103.0</v>
      </c>
      <c r="B105" s="10">
        <v>44067.0</v>
      </c>
      <c r="C105" s="9" t="s">
        <v>22</v>
      </c>
      <c r="D105" s="16" t="s">
        <v>252</v>
      </c>
      <c r="E105" s="9">
        <v>9.71507997732E11</v>
      </c>
      <c r="F105" s="12" t="s">
        <v>253</v>
      </c>
      <c r="G105" s="9" t="s">
        <v>57</v>
      </c>
      <c r="H105" s="9" t="s">
        <v>17</v>
      </c>
      <c r="I105" s="13"/>
      <c r="J105" s="13"/>
      <c r="K105" s="14"/>
      <c r="L105" s="13"/>
      <c r="M105" s="14"/>
      <c r="N105" s="15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9">
        <v>104.0</v>
      </c>
      <c r="B106" s="10">
        <v>44059.0</v>
      </c>
      <c r="C106" s="9" t="s">
        <v>22</v>
      </c>
      <c r="D106" s="16" t="s">
        <v>254</v>
      </c>
      <c r="E106" s="9">
        <v>9.71554701861E11</v>
      </c>
      <c r="F106" s="12" t="s">
        <v>255</v>
      </c>
      <c r="G106" s="9" t="s">
        <v>57</v>
      </c>
      <c r="H106" s="9" t="s">
        <v>17</v>
      </c>
      <c r="I106" s="13"/>
      <c r="J106" s="13"/>
      <c r="K106" s="14"/>
      <c r="L106" s="13"/>
      <c r="M106" s="14"/>
      <c r="N106" s="15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9">
        <v>105.0</v>
      </c>
      <c r="B107" s="10">
        <v>44059.0</v>
      </c>
      <c r="C107" s="9" t="s">
        <v>22</v>
      </c>
      <c r="D107" s="16" t="s">
        <v>256</v>
      </c>
      <c r="E107" s="9">
        <v>9.7105053355E12</v>
      </c>
      <c r="F107" s="12" t="s">
        <v>257</v>
      </c>
      <c r="G107" s="9" t="s">
        <v>57</v>
      </c>
      <c r="H107" s="9" t="s">
        <v>17</v>
      </c>
      <c r="I107" s="13"/>
      <c r="J107" s="13"/>
      <c r="K107" s="14"/>
      <c r="L107" s="13"/>
      <c r="M107" s="14"/>
      <c r="N107" s="15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9">
        <v>106.0</v>
      </c>
      <c r="B108" s="10">
        <v>44059.0</v>
      </c>
      <c r="C108" s="9" t="s">
        <v>22</v>
      </c>
      <c r="D108" s="16" t="s">
        <v>258</v>
      </c>
      <c r="E108" s="9">
        <v>9.66535111544E11</v>
      </c>
      <c r="F108" s="12" t="s">
        <v>259</v>
      </c>
      <c r="G108" s="9" t="s">
        <v>57</v>
      </c>
      <c r="H108" s="9" t="s">
        <v>260</v>
      </c>
      <c r="I108" s="13"/>
      <c r="J108" s="13"/>
      <c r="K108" s="14"/>
      <c r="L108" s="13"/>
      <c r="M108" s="14"/>
      <c r="N108" s="15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9">
        <v>107.0</v>
      </c>
      <c r="B109" s="10">
        <v>44069.0</v>
      </c>
      <c r="C109" s="9" t="s">
        <v>22</v>
      </c>
      <c r="D109" s="11" t="s">
        <v>261</v>
      </c>
      <c r="E109" s="9">
        <v>9.71501002933E11</v>
      </c>
      <c r="F109" s="12" t="s">
        <v>262</v>
      </c>
      <c r="G109" s="9" t="s">
        <v>60</v>
      </c>
      <c r="H109" s="9" t="s">
        <v>13</v>
      </c>
      <c r="I109" s="13"/>
      <c r="J109" s="13"/>
      <c r="K109" s="14"/>
      <c r="L109" s="13"/>
      <c r="M109" s="14"/>
      <c r="N109" s="15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9">
        <v>108.0</v>
      </c>
      <c r="B110" s="10">
        <v>44067.0</v>
      </c>
      <c r="C110" s="9" t="s">
        <v>47</v>
      </c>
      <c r="D110" s="11" t="s">
        <v>263</v>
      </c>
      <c r="E110" s="9">
        <v>9.66506325641E11</v>
      </c>
      <c r="F110" s="12" t="s">
        <v>264</v>
      </c>
      <c r="G110" s="9" t="s">
        <v>184</v>
      </c>
      <c r="H110" s="9" t="s">
        <v>13</v>
      </c>
      <c r="I110" s="13"/>
      <c r="J110" s="13"/>
      <c r="K110" s="14"/>
      <c r="L110" s="13"/>
      <c r="M110" s="14"/>
      <c r="N110" s="15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9">
        <v>109.0</v>
      </c>
      <c r="B111" s="10">
        <v>44067.0</v>
      </c>
      <c r="C111" s="9" t="s">
        <v>47</v>
      </c>
      <c r="D111" s="16" t="s">
        <v>157</v>
      </c>
      <c r="E111" s="9">
        <v>9.66503332681E11</v>
      </c>
      <c r="F111" s="12" t="s">
        <v>265</v>
      </c>
      <c r="G111" s="9" t="s">
        <v>184</v>
      </c>
      <c r="H111" s="9" t="s">
        <v>13</v>
      </c>
      <c r="I111" s="13"/>
      <c r="J111" s="13"/>
      <c r="K111" s="14"/>
      <c r="L111" s="13"/>
      <c r="M111" s="14"/>
      <c r="N111" s="15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9">
        <v>110.0</v>
      </c>
      <c r="B112" s="10">
        <v>44059.0</v>
      </c>
      <c r="C112" s="9" t="s">
        <v>22</v>
      </c>
      <c r="D112" s="16" t="s">
        <v>266</v>
      </c>
      <c r="E112" s="9">
        <v>9.66500844449E11</v>
      </c>
      <c r="F112" s="12" t="s">
        <v>267</v>
      </c>
      <c r="G112" s="9" t="s">
        <v>25</v>
      </c>
      <c r="H112" s="9" t="s">
        <v>13</v>
      </c>
      <c r="I112" s="13"/>
      <c r="J112" s="13"/>
      <c r="K112" s="14"/>
      <c r="L112" s="13"/>
      <c r="M112" s="14"/>
      <c r="N112" s="15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9">
        <v>111.0</v>
      </c>
      <c r="B113" s="10">
        <v>44059.0</v>
      </c>
      <c r="C113" s="9" t="s">
        <v>22</v>
      </c>
      <c r="D113" s="11" t="s">
        <v>268</v>
      </c>
      <c r="E113" s="9">
        <v>9.660548804843E12</v>
      </c>
      <c r="F113" s="12" t="s">
        <v>269</v>
      </c>
      <c r="G113" s="9" t="s">
        <v>25</v>
      </c>
      <c r="H113" s="9" t="s">
        <v>13</v>
      </c>
      <c r="I113" s="13"/>
      <c r="J113" s="13"/>
      <c r="K113" s="14"/>
      <c r="L113" s="13"/>
      <c r="M113" s="14"/>
      <c r="N113" s="15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9">
        <v>112.0</v>
      </c>
      <c r="B114" s="10">
        <v>44067.0</v>
      </c>
      <c r="C114" s="9" t="s">
        <v>47</v>
      </c>
      <c r="D114" s="16" t="s">
        <v>270</v>
      </c>
      <c r="E114" s="9">
        <v>9.660508300887E12</v>
      </c>
      <c r="F114" s="12" t="s">
        <v>271</v>
      </c>
      <c r="G114" s="9" t="s">
        <v>57</v>
      </c>
      <c r="H114" s="9" t="s">
        <v>17</v>
      </c>
      <c r="I114" s="13"/>
      <c r="J114" s="13"/>
      <c r="K114" s="14"/>
      <c r="L114" s="13"/>
      <c r="M114" s="14"/>
      <c r="N114" s="15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9">
        <v>113.0</v>
      </c>
      <c r="B115" s="10">
        <v>44067.0</v>
      </c>
      <c r="C115" s="9" t="s">
        <v>47</v>
      </c>
      <c r="D115" s="16" t="s">
        <v>272</v>
      </c>
      <c r="E115" s="9">
        <v>9.660559297829E12</v>
      </c>
      <c r="F115" s="12" t="s">
        <v>273</v>
      </c>
      <c r="G115" s="9" t="s">
        <v>184</v>
      </c>
      <c r="H115" s="9" t="s">
        <v>13</v>
      </c>
      <c r="I115" s="13"/>
      <c r="J115" s="13"/>
      <c r="K115" s="14"/>
      <c r="L115" s="13"/>
      <c r="M115" s="14"/>
      <c r="N115" s="15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9">
        <v>114.0</v>
      </c>
      <c r="B116" s="10">
        <v>44067.0</v>
      </c>
      <c r="C116" s="9" t="s">
        <v>22</v>
      </c>
      <c r="D116" s="16" t="s">
        <v>274</v>
      </c>
      <c r="E116" s="9">
        <v>9.71054333111E12</v>
      </c>
      <c r="F116" s="12" t="s">
        <v>275</v>
      </c>
      <c r="G116" s="9" t="s">
        <v>57</v>
      </c>
      <c r="H116" s="9" t="s">
        <v>73</v>
      </c>
      <c r="I116" s="13"/>
      <c r="J116" s="13"/>
      <c r="K116" s="14"/>
      <c r="L116" s="13"/>
      <c r="M116" s="14"/>
      <c r="N116" s="15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9">
        <v>115.0</v>
      </c>
      <c r="B117" s="10">
        <v>44056.0</v>
      </c>
      <c r="C117" s="9" t="s">
        <v>47</v>
      </c>
      <c r="D117" s="11" t="s">
        <v>276</v>
      </c>
      <c r="E117" s="9">
        <v>9.710551052623E12</v>
      </c>
      <c r="F117" s="12" t="s">
        <v>277</v>
      </c>
      <c r="G117" s="9" t="s">
        <v>35</v>
      </c>
      <c r="H117" s="9" t="s">
        <v>206</v>
      </c>
      <c r="I117" s="13"/>
      <c r="J117" s="13"/>
      <c r="K117" s="14"/>
      <c r="L117" s="13"/>
      <c r="M117" s="14"/>
      <c r="N117" s="15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9">
        <v>116.0</v>
      </c>
      <c r="B118" s="10">
        <v>44056.0</v>
      </c>
      <c r="C118" s="9" t="s">
        <v>47</v>
      </c>
      <c r="D118" s="11" t="s">
        <v>278</v>
      </c>
      <c r="E118" s="9">
        <v>9.71506289854E11</v>
      </c>
      <c r="F118" s="12" t="s">
        <v>279</v>
      </c>
      <c r="G118" s="9" t="s">
        <v>28</v>
      </c>
      <c r="H118" s="9" t="s">
        <v>13</v>
      </c>
      <c r="I118" s="13"/>
      <c r="J118" s="13"/>
      <c r="K118" s="14"/>
      <c r="L118" s="13"/>
      <c r="M118" s="14"/>
      <c r="N118" s="15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9">
        <v>117.0</v>
      </c>
      <c r="B119" s="10">
        <v>44056.0</v>
      </c>
      <c r="C119" s="9" t="s">
        <v>47</v>
      </c>
      <c r="D119" s="11" t="s">
        <v>280</v>
      </c>
      <c r="E119" s="9">
        <v>9.71507444805E11</v>
      </c>
      <c r="F119" s="12" t="s">
        <v>281</v>
      </c>
      <c r="G119" s="9" t="s">
        <v>28</v>
      </c>
      <c r="H119" s="9" t="s">
        <v>13</v>
      </c>
      <c r="I119" s="13"/>
      <c r="J119" s="13"/>
      <c r="K119" s="14"/>
      <c r="L119" s="13"/>
      <c r="M119" s="14"/>
      <c r="N119" s="15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9">
        <v>118.0</v>
      </c>
      <c r="B120" s="10">
        <v>44067.0</v>
      </c>
      <c r="C120" s="9" t="s">
        <v>47</v>
      </c>
      <c r="D120" s="11" t="s">
        <v>282</v>
      </c>
      <c r="E120" s="9">
        <v>9.66508725984E11</v>
      </c>
      <c r="F120" s="12" t="s">
        <v>283</v>
      </c>
      <c r="G120" s="9" t="s">
        <v>184</v>
      </c>
      <c r="H120" s="9" t="s">
        <v>13</v>
      </c>
      <c r="I120" s="13"/>
      <c r="J120" s="13"/>
      <c r="K120" s="14"/>
      <c r="L120" s="13"/>
      <c r="M120" s="14"/>
      <c r="N120" s="15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9">
        <v>119.0</v>
      </c>
      <c r="B121" s="10">
        <v>44067.0</v>
      </c>
      <c r="C121" s="9" t="s">
        <v>47</v>
      </c>
      <c r="D121" s="11" t="s">
        <v>284</v>
      </c>
      <c r="E121" s="9">
        <v>9.660503647336E12</v>
      </c>
      <c r="F121" s="12" t="s">
        <v>285</v>
      </c>
      <c r="G121" s="9" t="s">
        <v>184</v>
      </c>
      <c r="H121" s="9" t="s">
        <v>13</v>
      </c>
      <c r="I121" s="13"/>
      <c r="J121" s="13"/>
      <c r="K121" s="14"/>
      <c r="L121" s="13"/>
      <c r="M121" s="14"/>
      <c r="N121" s="15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9">
        <v>120.0</v>
      </c>
      <c r="B122" s="10">
        <v>44067.0</v>
      </c>
      <c r="C122" s="9" t="s">
        <v>47</v>
      </c>
      <c r="D122" s="16" t="s">
        <v>286</v>
      </c>
      <c r="E122" s="9">
        <v>9.660504967202E12</v>
      </c>
      <c r="F122" s="12" t="s">
        <v>287</v>
      </c>
      <c r="G122" s="9" t="s">
        <v>184</v>
      </c>
      <c r="H122" s="9" t="s">
        <v>13</v>
      </c>
      <c r="I122" s="13"/>
      <c r="J122" s="13"/>
      <c r="K122" s="14"/>
      <c r="L122" s="13"/>
      <c r="M122" s="14"/>
      <c r="N122" s="15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9">
        <v>121.0</v>
      </c>
      <c r="B123" s="10">
        <v>44067.0</v>
      </c>
      <c r="C123" s="9" t="s">
        <v>47</v>
      </c>
      <c r="D123" s="16" t="s">
        <v>288</v>
      </c>
      <c r="E123" s="9">
        <v>9.660506535521E12</v>
      </c>
      <c r="F123" s="12" t="s">
        <v>289</v>
      </c>
      <c r="G123" s="9" t="s">
        <v>184</v>
      </c>
      <c r="H123" s="9" t="s">
        <v>13</v>
      </c>
      <c r="I123" s="13"/>
      <c r="J123" s="13"/>
      <c r="K123" s="14"/>
      <c r="L123" s="13"/>
      <c r="M123" s="14"/>
      <c r="N123" s="15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9">
        <v>122.0</v>
      </c>
      <c r="B124" s="10">
        <v>44056.0</v>
      </c>
      <c r="C124" s="9" t="s">
        <v>47</v>
      </c>
      <c r="D124" s="16" t="s">
        <v>290</v>
      </c>
      <c r="E124" s="9">
        <v>9.660505504848E12</v>
      </c>
      <c r="F124" s="12" t="s">
        <v>291</v>
      </c>
      <c r="G124" s="9" t="s">
        <v>184</v>
      </c>
      <c r="H124" s="9" t="s">
        <v>13</v>
      </c>
      <c r="I124" s="13"/>
      <c r="J124" s="13"/>
      <c r="K124" s="14"/>
      <c r="L124" s="13"/>
      <c r="M124" s="14"/>
      <c r="N124" s="15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9">
        <v>123.0</v>
      </c>
      <c r="B125" s="10">
        <v>44070.0</v>
      </c>
      <c r="C125" s="9" t="s">
        <v>47</v>
      </c>
      <c r="D125" s="11" t="s">
        <v>292</v>
      </c>
      <c r="E125" s="9">
        <v>9.7150664711E11</v>
      </c>
      <c r="F125" s="12" t="s">
        <v>293</v>
      </c>
      <c r="G125" s="9" t="s">
        <v>80</v>
      </c>
      <c r="H125" s="9" t="s">
        <v>41</v>
      </c>
      <c r="I125" s="13"/>
      <c r="J125" s="13"/>
      <c r="K125" s="14"/>
      <c r="L125" s="13"/>
      <c r="M125" s="14"/>
      <c r="N125" s="15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9">
        <v>124.0</v>
      </c>
      <c r="B126" s="10">
        <v>44067.0</v>
      </c>
      <c r="C126" s="9" t="s">
        <v>47</v>
      </c>
      <c r="D126" s="16" t="s">
        <v>294</v>
      </c>
      <c r="E126" s="9">
        <v>9.66505751372E11</v>
      </c>
      <c r="F126" s="12" t="s">
        <v>295</v>
      </c>
      <c r="G126" s="9" t="s">
        <v>184</v>
      </c>
      <c r="H126" s="9" t="s">
        <v>13</v>
      </c>
      <c r="I126" s="13"/>
      <c r="J126" s="13"/>
      <c r="K126" s="14"/>
      <c r="L126" s="13"/>
      <c r="M126" s="14"/>
      <c r="N126" s="15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9">
        <v>125.0</v>
      </c>
      <c r="B127" s="10">
        <v>44061.0</v>
      </c>
      <c r="C127" s="9" t="s">
        <v>22</v>
      </c>
      <c r="D127" s="16" t="s">
        <v>296</v>
      </c>
      <c r="E127" s="9">
        <v>9.71555881138E11</v>
      </c>
      <c r="F127" s="12" t="s">
        <v>297</v>
      </c>
      <c r="G127" s="9" t="s">
        <v>46</v>
      </c>
      <c r="H127" s="9" t="s">
        <v>13</v>
      </c>
      <c r="I127" s="13"/>
      <c r="J127" s="13"/>
      <c r="K127" s="14"/>
      <c r="L127" s="13"/>
      <c r="M127" s="14"/>
      <c r="N127" s="15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9">
        <v>126.0</v>
      </c>
      <c r="B128" s="10">
        <v>44061.0</v>
      </c>
      <c r="C128" s="9" t="s">
        <v>22</v>
      </c>
      <c r="D128" s="11" t="s">
        <v>298</v>
      </c>
      <c r="E128" s="9">
        <v>9.710545361238E12</v>
      </c>
      <c r="F128" s="12" t="s">
        <v>299</v>
      </c>
      <c r="G128" s="9" t="s">
        <v>300</v>
      </c>
      <c r="H128" s="9" t="s">
        <v>41</v>
      </c>
      <c r="I128" s="13"/>
      <c r="J128" s="13"/>
      <c r="K128" s="14"/>
      <c r="L128" s="13"/>
      <c r="M128" s="14"/>
      <c r="N128" s="15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9">
        <v>127.0</v>
      </c>
      <c r="B129" s="10">
        <v>44070.0</v>
      </c>
      <c r="C129" s="9" t="s">
        <v>47</v>
      </c>
      <c r="D129" s="11" t="s">
        <v>301</v>
      </c>
      <c r="E129" s="9">
        <v>9.71566552666E11</v>
      </c>
      <c r="F129" s="12" t="s">
        <v>302</v>
      </c>
      <c r="G129" s="9" t="s">
        <v>35</v>
      </c>
      <c r="H129" s="9" t="s">
        <v>41</v>
      </c>
      <c r="I129" s="13"/>
      <c r="J129" s="13"/>
      <c r="K129" s="14"/>
      <c r="L129" s="13"/>
      <c r="M129" s="14"/>
      <c r="N129" s="15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9">
        <v>128.0</v>
      </c>
      <c r="B130" s="10">
        <v>44058.0</v>
      </c>
      <c r="C130" s="9" t="s">
        <v>22</v>
      </c>
      <c r="D130" s="16" t="s">
        <v>303</v>
      </c>
      <c r="E130" s="9">
        <v>9.660553383367E12</v>
      </c>
      <c r="F130" s="12" t="s">
        <v>304</v>
      </c>
      <c r="G130" s="9" t="s">
        <v>57</v>
      </c>
      <c r="H130" s="9" t="s">
        <v>41</v>
      </c>
      <c r="I130" s="13"/>
      <c r="J130" s="13"/>
      <c r="K130" s="14"/>
      <c r="L130" s="13"/>
      <c r="M130" s="14"/>
      <c r="N130" s="15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9">
        <v>129.0</v>
      </c>
      <c r="B131" s="10">
        <v>44058.0</v>
      </c>
      <c r="C131" s="9" t="s">
        <v>22</v>
      </c>
      <c r="D131" s="16" t="s">
        <v>305</v>
      </c>
      <c r="E131" s="9">
        <v>9.710563112911E12</v>
      </c>
      <c r="F131" s="12" t="s">
        <v>306</v>
      </c>
      <c r="G131" s="9" t="s">
        <v>57</v>
      </c>
      <c r="H131" s="9" t="s">
        <v>17</v>
      </c>
      <c r="I131" s="13"/>
      <c r="J131" s="13"/>
      <c r="K131" s="14"/>
      <c r="L131" s="13"/>
      <c r="M131" s="14"/>
      <c r="N131" s="15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9">
        <v>130.0</v>
      </c>
      <c r="B132" s="10">
        <v>44069.0</v>
      </c>
      <c r="C132" s="9" t="s">
        <v>47</v>
      </c>
      <c r="D132" s="11" t="s">
        <v>307</v>
      </c>
      <c r="E132" s="9">
        <v>9.66558822111E11</v>
      </c>
      <c r="F132" s="12" t="s">
        <v>308</v>
      </c>
      <c r="G132" s="9" t="s">
        <v>57</v>
      </c>
      <c r="H132" s="9" t="s">
        <v>41</v>
      </c>
      <c r="I132" s="13"/>
      <c r="J132" s="13"/>
      <c r="K132" s="14"/>
      <c r="L132" s="13"/>
      <c r="M132" s="14"/>
      <c r="N132" s="15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9">
        <v>131.0</v>
      </c>
      <c r="B133" s="10">
        <v>44058.0</v>
      </c>
      <c r="C133" s="9" t="s">
        <v>309</v>
      </c>
      <c r="D133" s="11" t="s">
        <v>310</v>
      </c>
      <c r="E133" s="9" t="s">
        <v>311</v>
      </c>
      <c r="F133" s="12" t="s">
        <v>312</v>
      </c>
      <c r="G133" s="9" t="s">
        <v>28</v>
      </c>
      <c r="H133" s="9" t="s">
        <v>13</v>
      </c>
      <c r="I133" s="13"/>
      <c r="J133" s="13"/>
      <c r="K133" s="14"/>
      <c r="L133" s="13"/>
      <c r="M133" s="14"/>
      <c r="N133" s="15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9">
        <v>132.0</v>
      </c>
      <c r="B134" s="10">
        <v>44073.0</v>
      </c>
      <c r="C134" s="9" t="s">
        <v>47</v>
      </c>
      <c r="D134" s="11" t="s">
        <v>313</v>
      </c>
      <c r="E134" s="9" t="s">
        <v>314</v>
      </c>
      <c r="F134" s="12" t="s">
        <v>315</v>
      </c>
      <c r="G134" s="9" t="s">
        <v>28</v>
      </c>
      <c r="H134" s="9" t="s">
        <v>13</v>
      </c>
      <c r="I134" s="13"/>
      <c r="J134" s="13"/>
      <c r="K134" s="14"/>
      <c r="L134" s="13"/>
      <c r="M134" s="14"/>
      <c r="N134" s="15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9">
        <v>133.0</v>
      </c>
      <c r="B135" s="10">
        <v>44073.0</v>
      </c>
      <c r="C135" s="9" t="s">
        <v>47</v>
      </c>
      <c r="D135" s="11" t="s">
        <v>316</v>
      </c>
      <c r="E135" s="9" t="s">
        <v>317</v>
      </c>
      <c r="F135" s="12" t="s">
        <v>318</v>
      </c>
      <c r="G135" s="9" t="s">
        <v>28</v>
      </c>
      <c r="H135" s="9" t="s">
        <v>13</v>
      </c>
      <c r="I135" s="13"/>
      <c r="J135" s="13"/>
      <c r="K135" s="14"/>
      <c r="L135" s="13"/>
      <c r="M135" s="14"/>
      <c r="N135" s="15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9">
        <v>134.0</v>
      </c>
      <c r="B136" s="10">
        <v>44069.0</v>
      </c>
      <c r="C136" s="9" t="s">
        <v>22</v>
      </c>
      <c r="D136" s="16" t="s">
        <v>319</v>
      </c>
      <c r="E136" s="9">
        <v>9.71553313969E11</v>
      </c>
      <c r="F136" s="12" t="s">
        <v>320</v>
      </c>
      <c r="G136" s="9" t="s">
        <v>57</v>
      </c>
      <c r="H136" s="9" t="s">
        <v>17</v>
      </c>
      <c r="I136" s="13"/>
      <c r="J136" s="13"/>
      <c r="K136" s="14"/>
      <c r="L136" s="13"/>
      <c r="M136" s="14"/>
      <c r="N136" s="15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9">
        <v>135.0</v>
      </c>
      <c r="B137" s="10">
        <v>44073.0</v>
      </c>
      <c r="C137" s="9" t="s">
        <v>47</v>
      </c>
      <c r="D137" s="16" t="s">
        <v>321</v>
      </c>
      <c r="E137" s="9" t="s">
        <v>322</v>
      </c>
      <c r="F137" s="12" t="s">
        <v>323</v>
      </c>
      <c r="G137" s="9" t="s">
        <v>28</v>
      </c>
      <c r="H137" s="9" t="s">
        <v>13</v>
      </c>
      <c r="I137" s="13"/>
      <c r="J137" s="13"/>
      <c r="K137" s="14"/>
      <c r="L137" s="13"/>
      <c r="M137" s="14"/>
      <c r="N137" s="15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9">
        <v>136.0</v>
      </c>
      <c r="B138" s="10">
        <v>44073.0</v>
      </c>
      <c r="C138" s="9" t="s">
        <v>47</v>
      </c>
      <c r="D138" s="11" t="s">
        <v>324</v>
      </c>
      <c r="E138" s="9" t="s">
        <v>325</v>
      </c>
      <c r="F138" s="12" t="s">
        <v>326</v>
      </c>
      <c r="G138" s="9" t="s">
        <v>28</v>
      </c>
      <c r="H138" s="9" t="s">
        <v>13</v>
      </c>
      <c r="I138" s="13"/>
      <c r="J138" s="13"/>
      <c r="K138" s="14"/>
      <c r="L138" s="13"/>
      <c r="M138" s="14"/>
      <c r="N138" s="15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9">
        <v>137.0</v>
      </c>
      <c r="B139" s="10">
        <v>44058.0</v>
      </c>
      <c r="C139" s="9" t="s">
        <v>309</v>
      </c>
      <c r="D139" s="16" t="s">
        <v>327</v>
      </c>
      <c r="E139" s="9" t="s">
        <v>328</v>
      </c>
      <c r="F139" s="12" t="s">
        <v>329</v>
      </c>
      <c r="G139" s="9" t="s">
        <v>57</v>
      </c>
      <c r="H139" s="9" t="s">
        <v>260</v>
      </c>
      <c r="I139" s="13"/>
      <c r="J139" s="13"/>
      <c r="K139" s="14"/>
      <c r="L139" s="13"/>
      <c r="M139" s="14"/>
      <c r="N139" s="15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9">
        <v>138.0</v>
      </c>
      <c r="B140" s="10">
        <v>44069.0</v>
      </c>
      <c r="C140" s="9" t="s">
        <v>47</v>
      </c>
      <c r="D140" s="11" t="s">
        <v>330</v>
      </c>
      <c r="E140" s="9">
        <v>9.715089392E11</v>
      </c>
      <c r="F140" s="12" t="s">
        <v>331</v>
      </c>
      <c r="G140" s="9" t="s">
        <v>52</v>
      </c>
      <c r="H140" s="9" t="s">
        <v>17</v>
      </c>
      <c r="I140" s="13"/>
      <c r="J140" s="13"/>
      <c r="K140" s="14"/>
      <c r="L140" s="13"/>
      <c r="M140" s="14"/>
      <c r="N140" s="15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9">
        <v>139.0</v>
      </c>
      <c r="B141" s="10">
        <v>44058.0</v>
      </c>
      <c r="C141" s="9" t="s">
        <v>309</v>
      </c>
      <c r="D141" s="16" t="s">
        <v>256</v>
      </c>
      <c r="E141" s="9" t="s">
        <v>332</v>
      </c>
      <c r="F141" s="12" t="s">
        <v>333</v>
      </c>
      <c r="G141" s="9" t="s">
        <v>57</v>
      </c>
      <c r="H141" s="9" t="s">
        <v>41</v>
      </c>
      <c r="I141" s="13"/>
      <c r="J141" s="13"/>
      <c r="K141" s="14"/>
      <c r="L141" s="13"/>
      <c r="M141" s="14"/>
      <c r="N141" s="15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9">
        <v>140.0</v>
      </c>
      <c r="B142" s="10">
        <v>44058.0</v>
      </c>
      <c r="C142" s="9" t="s">
        <v>309</v>
      </c>
      <c r="D142" s="16" t="s">
        <v>334</v>
      </c>
      <c r="E142" s="9" t="s">
        <v>335</v>
      </c>
      <c r="F142" s="12" t="s">
        <v>336</v>
      </c>
      <c r="G142" s="9" t="s">
        <v>57</v>
      </c>
      <c r="H142" s="9" t="s">
        <v>337</v>
      </c>
      <c r="I142" s="13"/>
      <c r="J142" s="13"/>
      <c r="K142" s="14"/>
      <c r="L142" s="13"/>
      <c r="M142" s="14"/>
      <c r="N142" s="15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9">
        <v>141.0</v>
      </c>
      <c r="B143" s="10">
        <v>44058.0</v>
      </c>
      <c r="C143" s="9" t="s">
        <v>47</v>
      </c>
      <c r="D143" s="11" t="s">
        <v>338</v>
      </c>
      <c r="E143" s="9" t="s">
        <v>339</v>
      </c>
      <c r="F143" s="12" t="s">
        <v>340</v>
      </c>
      <c r="G143" s="9" t="s">
        <v>176</v>
      </c>
      <c r="H143" s="9" t="s">
        <v>17</v>
      </c>
      <c r="I143" s="13"/>
      <c r="J143" s="13"/>
      <c r="K143" s="14"/>
      <c r="L143" s="13"/>
      <c r="M143" s="14"/>
      <c r="N143" s="15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9">
        <v>142.0</v>
      </c>
      <c r="B144" s="10">
        <v>44067.0</v>
      </c>
      <c r="C144" s="9" t="s">
        <v>22</v>
      </c>
      <c r="D144" s="11" t="s">
        <v>341</v>
      </c>
      <c r="E144" s="9">
        <v>9.710526199077E12</v>
      </c>
      <c r="F144" s="12" t="s">
        <v>342</v>
      </c>
      <c r="G144" s="9" t="s">
        <v>134</v>
      </c>
      <c r="H144" s="9" t="s">
        <v>17</v>
      </c>
      <c r="I144" s="13"/>
      <c r="J144" s="13"/>
      <c r="K144" s="14"/>
      <c r="L144" s="13"/>
      <c r="M144" s="14"/>
      <c r="N144" s="15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9">
        <v>143.0</v>
      </c>
      <c r="B145" s="10">
        <v>44067.0</v>
      </c>
      <c r="C145" s="9" t="s">
        <v>47</v>
      </c>
      <c r="D145" s="11" t="s">
        <v>343</v>
      </c>
      <c r="E145" s="9">
        <v>9.7155202766E11</v>
      </c>
      <c r="F145" s="12" t="s">
        <v>344</v>
      </c>
      <c r="G145" s="9" t="s">
        <v>60</v>
      </c>
      <c r="H145" s="9" t="s">
        <v>41</v>
      </c>
      <c r="I145" s="13"/>
      <c r="J145" s="13"/>
      <c r="K145" s="14"/>
      <c r="L145" s="13"/>
      <c r="M145" s="14"/>
      <c r="N145" s="15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9">
        <v>144.0</v>
      </c>
      <c r="B146" s="10">
        <v>44067.0</v>
      </c>
      <c r="C146" s="9" t="s">
        <v>22</v>
      </c>
      <c r="D146" s="11" t="s">
        <v>345</v>
      </c>
      <c r="E146" s="9">
        <v>9.71501202253E11</v>
      </c>
      <c r="F146" s="12" t="s">
        <v>346</v>
      </c>
      <c r="G146" s="9" t="s">
        <v>60</v>
      </c>
      <c r="H146" s="9" t="s">
        <v>13</v>
      </c>
      <c r="I146" s="13"/>
      <c r="J146" s="13"/>
      <c r="K146" s="14"/>
      <c r="L146" s="13"/>
      <c r="M146" s="14"/>
      <c r="N146" s="15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9">
        <v>145.0</v>
      </c>
      <c r="B147" s="10">
        <v>44067.0</v>
      </c>
      <c r="C147" s="9" t="s">
        <v>47</v>
      </c>
      <c r="D147" s="16" t="s">
        <v>347</v>
      </c>
      <c r="E147" s="9">
        <v>9.660558562122E12</v>
      </c>
      <c r="F147" s="12" t="s">
        <v>348</v>
      </c>
      <c r="G147" s="9" t="s">
        <v>184</v>
      </c>
      <c r="H147" s="9" t="s">
        <v>13</v>
      </c>
      <c r="I147" s="13"/>
      <c r="J147" s="13"/>
      <c r="K147" s="14"/>
      <c r="L147" s="13"/>
      <c r="M147" s="14"/>
      <c r="N147" s="15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9">
        <v>146.0</v>
      </c>
      <c r="B148" s="10">
        <v>44067.0</v>
      </c>
      <c r="C148" s="9" t="s">
        <v>349</v>
      </c>
      <c r="D148" s="16" t="s">
        <v>350</v>
      </c>
      <c r="E148" s="9">
        <v>9.66054915604E12</v>
      </c>
      <c r="F148" s="12" t="s">
        <v>351</v>
      </c>
      <c r="G148" s="9" t="s">
        <v>25</v>
      </c>
      <c r="H148" s="9" t="s">
        <v>13</v>
      </c>
      <c r="I148" s="13"/>
      <c r="J148" s="13"/>
      <c r="K148" s="14"/>
      <c r="L148" s="13"/>
      <c r="M148" s="14"/>
      <c r="N148" s="15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9">
        <v>147.0</v>
      </c>
      <c r="B149" s="10">
        <v>44067.0</v>
      </c>
      <c r="C149" s="9" t="s">
        <v>22</v>
      </c>
      <c r="D149" s="16" t="s">
        <v>352</v>
      </c>
      <c r="E149" s="9">
        <v>9.710504271732E12</v>
      </c>
      <c r="F149" s="12" t="s">
        <v>353</v>
      </c>
      <c r="G149" s="9" t="s">
        <v>57</v>
      </c>
      <c r="H149" s="9" t="s">
        <v>41</v>
      </c>
      <c r="I149" s="13"/>
      <c r="J149" s="13"/>
      <c r="K149" s="14"/>
      <c r="L149" s="13"/>
      <c r="M149" s="14"/>
      <c r="N149" s="15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9">
        <v>148.0</v>
      </c>
      <c r="B150" s="10">
        <v>44070.0</v>
      </c>
      <c r="C150" s="9" t="s">
        <v>47</v>
      </c>
      <c r="D150" s="16" t="s">
        <v>354</v>
      </c>
      <c r="E150" s="9">
        <v>9.66505293784E11</v>
      </c>
      <c r="F150" s="12" t="s">
        <v>355</v>
      </c>
      <c r="G150" s="9" t="s">
        <v>57</v>
      </c>
      <c r="H150" s="9" t="s">
        <v>41</v>
      </c>
      <c r="I150" s="13"/>
      <c r="J150" s="13"/>
      <c r="K150" s="14"/>
      <c r="L150" s="13"/>
      <c r="M150" s="14"/>
      <c r="N150" s="15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9">
        <v>149.0</v>
      </c>
      <c r="B151" s="10">
        <v>44070.0</v>
      </c>
      <c r="C151" s="9" t="s">
        <v>22</v>
      </c>
      <c r="D151" s="11" t="s">
        <v>356</v>
      </c>
      <c r="E151" s="9">
        <v>9.710506666723E12</v>
      </c>
      <c r="F151" s="12" t="s">
        <v>357</v>
      </c>
      <c r="G151" s="9" t="s">
        <v>57</v>
      </c>
      <c r="H151" s="9" t="s">
        <v>17</v>
      </c>
      <c r="I151" s="13"/>
      <c r="J151" s="13"/>
      <c r="K151" s="14"/>
      <c r="L151" s="13"/>
      <c r="M151" s="14"/>
      <c r="N151" s="15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9">
        <v>150.0</v>
      </c>
      <c r="B152" s="10">
        <v>44074.0</v>
      </c>
      <c r="C152" s="9" t="s">
        <v>22</v>
      </c>
      <c r="D152" s="11" t="s">
        <v>358</v>
      </c>
      <c r="E152" s="9">
        <v>9.71505455636E11</v>
      </c>
      <c r="F152" s="12" t="s">
        <v>359</v>
      </c>
      <c r="G152" s="9" t="s">
        <v>46</v>
      </c>
      <c r="H152" s="9" t="s">
        <v>13</v>
      </c>
      <c r="I152" s="13"/>
      <c r="J152" s="13"/>
      <c r="K152" s="14"/>
      <c r="L152" s="13"/>
      <c r="M152" s="14"/>
      <c r="N152" s="15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9">
        <v>151.0</v>
      </c>
      <c r="B153" s="10">
        <v>44060.0</v>
      </c>
      <c r="C153" s="9" t="s">
        <v>22</v>
      </c>
      <c r="D153" s="16" t="s">
        <v>360</v>
      </c>
      <c r="E153" s="9">
        <v>9.710504089076E12</v>
      </c>
      <c r="F153" s="12" t="s">
        <v>361</v>
      </c>
      <c r="G153" s="9" t="s">
        <v>57</v>
      </c>
      <c r="H153" s="9" t="s">
        <v>17</v>
      </c>
      <c r="I153" s="13"/>
      <c r="J153" s="13"/>
      <c r="K153" s="14"/>
      <c r="L153" s="13"/>
      <c r="M153" s="14"/>
      <c r="N153" s="15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9">
        <v>152.0</v>
      </c>
      <c r="B154" s="10">
        <v>44067.0</v>
      </c>
      <c r="C154" s="9" t="s">
        <v>22</v>
      </c>
      <c r="D154" s="11" t="s">
        <v>362</v>
      </c>
      <c r="E154" s="9">
        <v>9.710558048777E12</v>
      </c>
      <c r="F154" s="12" t="s">
        <v>363</v>
      </c>
      <c r="G154" s="9" t="s">
        <v>364</v>
      </c>
      <c r="H154" s="9" t="s">
        <v>73</v>
      </c>
      <c r="I154" s="13"/>
      <c r="J154" s="13"/>
      <c r="K154" s="14"/>
      <c r="L154" s="13"/>
      <c r="M154" s="14"/>
      <c r="N154" s="15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9">
        <v>153.0</v>
      </c>
      <c r="B155" s="10">
        <v>44067.0</v>
      </c>
      <c r="C155" s="9" t="s">
        <v>22</v>
      </c>
      <c r="D155" s="11" t="s">
        <v>365</v>
      </c>
      <c r="E155" s="9">
        <v>9.710506444373E12</v>
      </c>
      <c r="F155" s="12" t="s">
        <v>366</v>
      </c>
      <c r="G155" s="9" t="s">
        <v>134</v>
      </c>
      <c r="H155" s="9" t="s">
        <v>206</v>
      </c>
      <c r="I155" s="13"/>
      <c r="J155" s="13"/>
      <c r="K155" s="14"/>
      <c r="L155" s="13"/>
      <c r="M155" s="14"/>
      <c r="N155" s="15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9">
        <v>154.0</v>
      </c>
      <c r="B156" s="10">
        <v>44067.0</v>
      </c>
      <c r="C156" s="9" t="s">
        <v>47</v>
      </c>
      <c r="D156" s="11" t="s">
        <v>367</v>
      </c>
      <c r="E156" s="9">
        <v>9.71585862603E11</v>
      </c>
      <c r="F156" s="12" t="s">
        <v>368</v>
      </c>
      <c r="G156" s="9" t="s">
        <v>60</v>
      </c>
      <c r="H156" s="9" t="s">
        <v>13</v>
      </c>
      <c r="I156" s="13"/>
      <c r="J156" s="13"/>
      <c r="K156" s="14"/>
      <c r="L156" s="13"/>
      <c r="M156" s="14"/>
      <c r="N156" s="15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9">
        <v>155.0</v>
      </c>
      <c r="B157" s="10">
        <v>44067.0</v>
      </c>
      <c r="C157" s="9" t="s">
        <v>47</v>
      </c>
      <c r="D157" s="11" t="s">
        <v>369</v>
      </c>
      <c r="E157" s="9">
        <v>9.710508819988E12</v>
      </c>
      <c r="F157" s="12" t="s">
        <v>370</v>
      </c>
      <c r="G157" s="9" t="s">
        <v>60</v>
      </c>
      <c r="H157" s="9" t="s">
        <v>81</v>
      </c>
      <c r="I157" s="13"/>
      <c r="J157" s="13"/>
      <c r="K157" s="14"/>
      <c r="L157" s="13"/>
      <c r="M157" s="14"/>
      <c r="N157" s="15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9">
        <v>156.0</v>
      </c>
      <c r="B158" s="10">
        <v>44067.0</v>
      </c>
      <c r="C158" s="9" t="s">
        <v>47</v>
      </c>
      <c r="D158" s="11" t="s">
        <v>371</v>
      </c>
      <c r="E158" s="9">
        <v>9.715095707E11</v>
      </c>
      <c r="F158" s="12" t="s">
        <v>372</v>
      </c>
      <c r="G158" s="9" t="s">
        <v>80</v>
      </c>
      <c r="H158" s="9" t="s">
        <v>41</v>
      </c>
      <c r="I158" s="13"/>
      <c r="J158" s="13"/>
      <c r="K158" s="14"/>
      <c r="L158" s="13"/>
      <c r="M158" s="14"/>
      <c r="N158" s="15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9">
        <v>157.0</v>
      </c>
      <c r="B159" s="10">
        <v>44067.0</v>
      </c>
      <c r="C159" s="9" t="s">
        <v>47</v>
      </c>
      <c r="D159" s="11" t="s">
        <v>373</v>
      </c>
      <c r="E159" s="9">
        <v>9.710507158695E12</v>
      </c>
      <c r="F159" s="12" t="s">
        <v>374</v>
      </c>
      <c r="G159" s="9" t="s">
        <v>176</v>
      </c>
      <c r="H159" s="9" t="s">
        <v>41</v>
      </c>
      <c r="I159" s="13"/>
      <c r="J159" s="13"/>
      <c r="K159" s="14"/>
      <c r="L159" s="13"/>
      <c r="M159" s="14"/>
      <c r="N159" s="15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9">
        <v>158.0</v>
      </c>
      <c r="B160" s="10">
        <v>44067.0</v>
      </c>
      <c r="C160" s="9" t="s">
        <v>47</v>
      </c>
      <c r="D160" s="11" t="s">
        <v>375</v>
      </c>
      <c r="E160" s="9">
        <v>9.71586897536E11</v>
      </c>
      <c r="F160" s="12" t="s">
        <v>376</v>
      </c>
      <c r="G160" s="9" t="s">
        <v>249</v>
      </c>
      <c r="H160" s="9" t="s">
        <v>13</v>
      </c>
      <c r="I160" s="13"/>
      <c r="J160" s="13"/>
      <c r="K160" s="14"/>
      <c r="L160" s="13"/>
      <c r="M160" s="14"/>
      <c r="N160" s="15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9">
        <v>159.0</v>
      </c>
      <c r="B161" s="10">
        <v>44067.0</v>
      </c>
      <c r="C161" s="9" t="s">
        <v>47</v>
      </c>
      <c r="D161" s="11" t="s">
        <v>377</v>
      </c>
      <c r="E161" s="9">
        <v>9.7152700542E11</v>
      </c>
      <c r="F161" s="12" t="s">
        <v>378</v>
      </c>
      <c r="G161" s="9" t="s">
        <v>181</v>
      </c>
      <c r="H161" s="9" t="s">
        <v>17</v>
      </c>
      <c r="I161" s="13"/>
      <c r="J161" s="13"/>
      <c r="K161" s="14"/>
      <c r="L161" s="13"/>
      <c r="M161" s="14"/>
      <c r="N161" s="15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9">
        <v>160.0</v>
      </c>
      <c r="B162" s="10">
        <v>44067.0</v>
      </c>
      <c r="C162" s="9" t="s">
        <v>47</v>
      </c>
      <c r="D162" s="11" t="s">
        <v>379</v>
      </c>
      <c r="E162" s="9">
        <v>9.71528737374E11</v>
      </c>
      <c r="F162" s="12" t="s">
        <v>380</v>
      </c>
      <c r="G162" s="9" t="s">
        <v>52</v>
      </c>
      <c r="H162" s="9" t="s">
        <v>21</v>
      </c>
      <c r="I162" s="13"/>
      <c r="J162" s="13"/>
      <c r="K162" s="14"/>
      <c r="L162" s="13"/>
      <c r="M162" s="14"/>
      <c r="N162" s="15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9">
        <v>161.0</v>
      </c>
      <c r="B163" s="10">
        <v>44056.0</v>
      </c>
      <c r="C163" s="9" t="s">
        <v>381</v>
      </c>
      <c r="D163" s="11" t="s">
        <v>382</v>
      </c>
      <c r="E163" s="9">
        <v>9.66503803968E11</v>
      </c>
      <c r="F163" s="12" t="s">
        <v>383</v>
      </c>
      <c r="G163" s="9" t="s">
        <v>57</v>
      </c>
      <c r="H163" s="9" t="s">
        <v>17</v>
      </c>
      <c r="I163" s="13"/>
      <c r="J163" s="13"/>
      <c r="K163" s="14"/>
      <c r="L163" s="13"/>
      <c r="M163" s="14"/>
      <c r="N163" s="15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9">
        <v>162.0</v>
      </c>
      <c r="B164" s="10">
        <v>44051.0</v>
      </c>
      <c r="C164" s="9" t="s">
        <v>309</v>
      </c>
      <c r="D164" s="16" t="s">
        <v>157</v>
      </c>
      <c r="E164" s="9">
        <v>9.7105038380981E13</v>
      </c>
      <c r="F164" s="12" t="s">
        <v>384</v>
      </c>
      <c r="G164" s="9" t="s">
        <v>57</v>
      </c>
      <c r="H164" s="9" t="s">
        <v>385</v>
      </c>
      <c r="I164" s="13"/>
      <c r="J164" s="13"/>
      <c r="K164" s="14"/>
      <c r="L164" s="13"/>
      <c r="M164" s="22"/>
      <c r="N164" s="15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9">
        <v>163.0</v>
      </c>
      <c r="B165" s="10">
        <v>44053.0</v>
      </c>
      <c r="C165" s="9" t="s">
        <v>309</v>
      </c>
      <c r="D165" s="16" t="s">
        <v>386</v>
      </c>
      <c r="E165" s="9">
        <v>9.710501995888E12</v>
      </c>
      <c r="F165" s="12" t="s">
        <v>387</v>
      </c>
      <c r="G165" s="9" t="s">
        <v>57</v>
      </c>
      <c r="H165" s="9" t="s">
        <v>385</v>
      </c>
      <c r="I165" s="13"/>
      <c r="J165" s="13"/>
      <c r="K165" s="14"/>
      <c r="L165" s="13"/>
      <c r="M165" s="22"/>
      <c r="N165" s="15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9">
        <v>164.0</v>
      </c>
      <c r="B166" s="10">
        <v>44067.0</v>
      </c>
      <c r="C166" s="9" t="s">
        <v>22</v>
      </c>
      <c r="D166" s="16" t="s">
        <v>388</v>
      </c>
      <c r="E166" s="9">
        <v>9.710569084108E12</v>
      </c>
      <c r="F166" s="12" t="s">
        <v>389</v>
      </c>
      <c r="G166" s="9" t="s">
        <v>57</v>
      </c>
      <c r="H166" s="9" t="s">
        <v>385</v>
      </c>
      <c r="I166" s="13"/>
      <c r="J166" s="13"/>
      <c r="K166" s="14"/>
      <c r="L166" s="13"/>
      <c r="M166" s="14"/>
      <c r="N166" s="15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9">
        <v>165.0</v>
      </c>
      <c r="B167" s="10">
        <v>44058.0</v>
      </c>
      <c r="C167" s="9" t="s">
        <v>309</v>
      </c>
      <c r="D167" s="16" t="s">
        <v>390</v>
      </c>
      <c r="E167" s="9" t="s">
        <v>391</v>
      </c>
      <c r="F167" s="12" t="s">
        <v>392</v>
      </c>
      <c r="G167" s="9" t="s">
        <v>57</v>
      </c>
      <c r="H167" s="9" t="s">
        <v>385</v>
      </c>
      <c r="I167" s="13"/>
      <c r="J167" s="13"/>
      <c r="K167" s="14"/>
      <c r="L167" s="13"/>
      <c r="M167" s="14"/>
      <c r="N167" s="15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9">
        <v>166.0</v>
      </c>
      <c r="B168" s="10">
        <v>44072.0</v>
      </c>
      <c r="C168" s="9" t="s">
        <v>393</v>
      </c>
      <c r="D168" s="11" t="s">
        <v>394</v>
      </c>
      <c r="E168" s="9">
        <v>9.66582333392E11</v>
      </c>
      <c r="F168" s="12" t="s">
        <v>395</v>
      </c>
      <c r="G168" s="9" t="s">
        <v>176</v>
      </c>
      <c r="H168" s="9" t="s">
        <v>41</v>
      </c>
      <c r="I168" s="13"/>
      <c r="J168" s="13"/>
      <c r="K168" s="14"/>
      <c r="L168" s="13"/>
      <c r="M168" s="14"/>
      <c r="N168" s="15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9">
        <v>167.0</v>
      </c>
      <c r="B169" s="10">
        <v>44043.0</v>
      </c>
      <c r="C169" s="9" t="s">
        <v>309</v>
      </c>
      <c r="D169" s="16" t="s">
        <v>396</v>
      </c>
      <c r="E169" s="9">
        <v>9.710502724887E12</v>
      </c>
      <c r="F169" s="12" t="s">
        <v>397</v>
      </c>
      <c r="G169" s="9" t="s">
        <v>181</v>
      </c>
      <c r="H169" s="9" t="s">
        <v>17</v>
      </c>
      <c r="I169" s="13"/>
      <c r="J169" s="13"/>
      <c r="K169" s="14"/>
      <c r="L169" s="13"/>
      <c r="M169" s="22"/>
      <c r="N169" s="15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9">
        <v>168.0</v>
      </c>
      <c r="B170" s="10">
        <v>44027.0</v>
      </c>
      <c r="C170" s="9" t="s">
        <v>47</v>
      </c>
      <c r="D170" s="11" t="s">
        <v>398</v>
      </c>
      <c r="E170" s="17">
        <f>+971567939213</f>
        <v>971567939213</v>
      </c>
      <c r="F170" s="12" t="s">
        <v>399</v>
      </c>
      <c r="G170" s="9" t="s">
        <v>400</v>
      </c>
      <c r="H170" s="9" t="s">
        <v>17</v>
      </c>
      <c r="I170" s="13"/>
      <c r="J170" s="13"/>
      <c r="K170" s="14"/>
      <c r="L170" s="13"/>
      <c r="M170" s="14"/>
      <c r="N170" s="15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9">
        <v>169.0</v>
      </c>
      <c r="B171" s="10">
        <v>44008.0</v>
      </c>
      <c r="C171" s="9" t="s">
        <v>401</v>
      </c>
      <c r="D171" s="16" t="s">
        <v>402</v>
      </c>
      <c r="E171" s="17">
        <f>+966559265592</f>
        <v>966559265592</v>
      </c>
      <c r="F171" s="12" t="s">
        <v>403</v>
      </c>
      <c r="G171" s="9" t="s">
        <v>184</v>
      </c>
      <c r="H171" s="9" t="s">
        <v>385</v>
      </c>
      <c r="I171" s="13"/>
      <c r="J171" s="13"/>
      <c r="K171" s="14"/>
      <c r="L171" s="13"/>
      <c r="M171" s="22"/>
      <c r="N171" s="15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9">
        <v>170.0</v>
      </c>
      <c r="B172" s="10">
        <v>44007.0</v>
      </c>
      <c r="C172" s="9" t="s">
        <v>401</v>
      </c>
      <c r="D172" s="16" t="s">
        <v>404</v>
      </c>
      <c r="E172" s="17">
        <f>+9660505769613</f>
        <v>9660505769613</v>
      </c>
      <c r="F172" s="12" t="s">
        <v>405</v>
      </c>
      <c r="G172" s="9" t="s">
        <v>184</v>
      </c>
      <c r="H172" s="9" t="s">
        <v>385</v>
      </c>
      <c r="I172" s="13"/>
      <c r="J172" s="13"/>
      <c r="K172" s="14"/>
      <c r="L172" s="13"/>
      <c r="M172" s="22"/>
      <c r="N172" s="15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9">
        <v>171.0</v>
      </c>
      <c r="B173" s="10">
        <v>44004.0</v>
      </c>
      <c r="C173" s="9" t="s">
        <v>401</v>
      </c>
      <c r="D173" s="11" t="s">
        <v>406</v>
      </c>
      <c r="E173" s="17">
        <f>+966531415247</f>
        <v>966531415247</v>
      </c>
      <c r="F173" s="12" t="s">
        <v>407</v>
      </c>
      <c r="G173" s="9" t="s">
        <v>184</v>
      </c>
      <c r="H173" s="9" t="s">
        <v>385</v>
      </c>
      <c r="I173" s="13"/>
      <c r="J173" s="13"/>
      <c r="K173" s="14"/>
      <c r="L173" s="13"/>
      <c r="M173" s="14"/>
      <c r="N173" s="15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9">
        <v>172.0</v>
      </c>
      <c r="B174" s="10">
        <v>44012.0</v>
      </c>
      <c r="C174" s="9" t="s">
        <v>408</v>
      </c>
      <c r="D174" s="11" t="s">
        <v>409</v>
      </c>
      <c r="E174" s="17">
        <f>+96551536710</f>
        <v>96551536710</v>
      </c>
      <c r="F174" s="9" t="s">
        <v>410</v>
      </c>
      <c r="G174" s="9" t="s">
        <v>131</v>
      </c>
      <c r="H174" s="9" t="s">
        <v>206</v>
      </c>
      <c r="I174" s="13"/>
      <c r="J174" s="13"/>
      <c r="K174" s="14"/>
      <c r="L174" s="13"/>
      <c r="M174" s="14"/>
      <c r="N174" s="14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9">
        <v>173.0</v>
      </c>
      <c r="B175" s="10">
        <v>44002.0</v>
      </c>
      <c r="C175" s="9" t="s">
        <v>411</v>
      </c>
      <c r="D175" s="11" t="s">
        <v>412</v>
      </c>
      <c r="E175" s="17">
        <f>+85267044313</f>
        <v>85267044313</v>
      </c>
      <c r="F175" s="12" t="s">
        <v>413</v>
      </c>
      <c r="G175" s="9" t="s">
        <v>414</v>
      </c>
      <c r="H175" s="9" t="s">
        <v>41</v>
      </c>
      <c r="I175" s="13"/>
      <c r="J175" s="13"/>
      <c r="K175" s="14"/>
      <c r="L175" s="13"/>
      <c r="M175" s="14"/>
      <c r="N175" s="15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9">
        <v>174.0</v>
      </c>
      <c r="B176" s="10">
        <v>43799.0</v>
      </c>
      <c r="C176" s="9" t="s">
        <v>415</v>
      </c>
      <c r="D176" s="11" t="s">
        <v>416</v>
      </c>
      <c r="E176" s="9">
        <v>9.62790135217E11</v>
      </c>
      <c r="F176" s="9" t="s">
        <v>410</v>
      </c>
      <c r="G176" s="9" t="s">
        <v>417</v>
      </c>
      <c r="H176" s="9" t="s">
        <v>337</v>
      </c>
      <c r="I176" s="13"/>
      <c r="J176" s="13"/>
      <c r="K176" s="14"/>
      <c r="L176" s="13"/>
      <c r="M176" s="14"/>
      <c r="N176" s="15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9">
        <v>175.0</v>
      </c>
      <c r="B177" s="18">
        <v>43755.0</v>
      </c>
      <c r="C177" s="19" t="s">
        <v>418</v>
      </c>
      <c r="D177" s="11" t="s">
        <v>419</v>
      </c>
      <c r="E177" s="19">
        <v>5.03280359E8</v>
      </c>
      <c r="F177" s="19" t="s">
        <v>410</v>
      </c>
      <c r="G177" s="19" t="s">
        <v>417</v>
      </c>
      <c r="H177" s="19" t="s">
        <v>21</v>
      </c>
      <c r="I177" s="13"/>
      <c r="J177" s="13"/>
      <c r="K177" s="20"/>
      <c r="L177" s="13"/>
      <c r="M177" s="20"/>
      <c r="N177" s="21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9">
        <v>176.0</v>
      </c>
      <c r="B178" s="10">
        <v>43759.0</v>
      </c>
      <c r="C178" s="9" t="s">
        <v>420</v>
      </c>
      <c r="D178" s="11" t="s">
        <v>421</v>
      </c>
      <c r="E178" s="9">
        <v>2.348035250959E12</v>
      </c>
      <c r="F178" s="12" t="s">
        <v>422</v>
      </c>
      <c r="G178" s="9" t="s">
        <v>423</v>
      </c>
      <c r="H178" s="9" t="s">
        <v>385</v>
      </c>
      <c r="I178" s="13"/>
      <c r="J178" s="13"/>
      <c r="K178" s="14"/>
      <c r="L178" s="13"/>
      <c r="M178" s="14"/>
      <c r="N178" s="15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9">
        <v>177.0</v>
      </c>
      <c r="B179" s="10">
        <v>43759.0</v>
      </c>
      <c r="C179" s="9" t="s">
        <v>420</v>
      </c>
      <c r="D179" s="11" t="s">
        <v>424</v>
      </c>
      <c r="E179" s="9">
        <v>4.47900692881E11</v>
      </c>
      <c r="F179" s="12" t="s">
        <v>425</v>
      </c>
      <c r="G179" s="9" t="s">
        <v>423</v>
      </c>
      <c r="H179" s="9" t="s">
        <v>385</v>
      </c>
      <c r="I179" s="13"/>
      <c r="J179" s="13"/>
      <c r="K179" s="14"/>
      <c r="L179" s="13"/>
      <c r="M179" s="14"/>
      <c r="N179" s="15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9">
        <v>178.0</v>
      </c>
      <c r="B180" s="23">
        <v>43962.0</v>
      </c>
      <c r="C180" s="9" t="s">
        <v>426</v>
      </c>
      <c r="D180" s="11" t="s">
        <v>427</v>
      </c>
      <c r="E180" s="9">
        <v>9.71521678383E11</v>
      </c>
      <c r="F180" s="12" t="s">
        <v>428</v>
      </c>
      <c r="G180" s="9" t="s">
        <v>12</v>
      </c>
      <c r="H180" s="9" t="s">
        <v>260</v>
      </c>
      <c r="I180" s="13"/>
      <c r="J180" s="13"/>
      <c r="K180" s="14"/>
      <c r="L180" s="13"/>
      <c r="M180" s="14"/>
      <c r="N180" s="15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9">
        <v>179.0</v>
      </c>
      <c r="B181" s="23">
        <v>43963.0</v>
      </c>
      <c r="C181" s="9" t="s">
        <v>429</v>
      </c>
      <c r="D181" s="11" t="s">
        <v>430</v>
      </c>
      <c r="E181" s="17">
        <f>+971504800243</f>
        <v>971504800243</v>
      </c>
      <c r="F181" s="12" t="s">
        <v>431</v>
      </c>
      <c r="G181" s="9" t="s">
        <v>432</v>
      </c>
      <c r="H181" s="9" t="s">
        <v>260</v>
      </c>
      <c r="I181" s="13"/>
      <c r="J181" s="13"/>
      <c r="K181" s="14"/>
      <c r="L181" s="13"/>
      <c r="M181" s="14"/>
      <c r="N181" s="14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9">
        <v>180.0</v>
      </c>
      <c r="B182" s="10">
        <v>43941.0</v>
      </c>
      <c r="C182" s="9" t="s">
        <v>433</v>
      </c>
      <c r="D182" s="11" t="s">
        <v>434</v>
      </c>
      <c r="E182" s="9">
        <v>9.66501770158E11</v>
      </c>
      <c r="F182" s="12" t="s">
        <v>435</v>
      </c>
      <c r="G182" s="9" t="s">
        <v>25</v>
      </c>
      <c r="H182" s="9" t="s">
        <v>385</v>
      </c>
      <c r="I182" s="13"/>
      <c r="J182" s="13"/>
      <c r="K182" s="14"/>
      <c r="L182" s="13"/>
      <c r="M182" s="14"/>
      <c r="N182" s="15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9">
        <v>181.0</v>
      </c>
      <c r="B183" s="10">
        <v>43782.0</v>
      </c>
      <c r="C183" s="9" t="s">
        <v>420</v>
      </c>
      <c r="D183" s="11" t="s">
        <v>436</v>
      </c>
      <c r="E183" s="9">
        <v>5.0830898E8</v>
      </c>
      <c r="F183" s="12" t="s">
        <v>437</v>
      </c>
      <c r="G183" s="9" t="s">
        <v>149</v>
      </c>
      <c r="H183" s="9" t="s">
        <v>13</v>
      </c>
      <c r="I183" s="13"/>
      <c r="J183" s="13"/>
      <c r="K183" s="14"/>
      <c r="L183" s="13"/>
      <c r="M183" s="14"/>
      <c r="N183" s="15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9">
        <v>182.0</v>
      </c>
      <c r="B184" s="10">
        <v>43941.0</v>
      </c>
      <c r="C184" s="9" t="s">
        <v>438</v>
      </c>
      <c r="D184" s="11" t="s">
        <v>439</v>
      </c>
      <c r="E184" s="9">
        <v>5.54677728E8</v>
      </c>
      <c r="F184" s="12" t="s">
        <v>440</v>
      </c>
      <c r="G184" s="9" t="s">
        <v>28</v>
      </c>
      <c r="H184" s="9" t="s">
        <v>385</v>
      </c>
      <c r="I184" s="13"/>
      <c r="J184" s="13"/>
      <c r="K184" s="14"/>
      <c r="L184" s="13"/>
      <c r="M184" s="14"/>
      <c r="N184" s="15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9">
        <v>183.0</v>
      </c>
      <c r="B185" s="10">
        <v>43747.0</v>
      </c>
      <c r="C185" s="9" t="s">
        <v>441</v>
      </c>
      <c r="D185" s="11" t="s">
        <v>442</v>
      </c>
      <c r="E185" s="9">
        <v>4.47769292105E11</v>
      </c>
      <c r="F185" s="12" t="s">
        <v>443</v>
      </c>
      <c r="G185" s="9" t="s">
        <v>28</v>
      </c>
      <c r="H185" s="9" t="s">
        <v>385</v>
      </c>
      <c r="I185" s="13"/>
      <c r="J185" s="13"/>
      <c r="K185" s="14"/>
      <c r="L185" s="13"/>
      <c r="M185" s="14"/>
      <c r="N185" s="15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9">
        <v>184.0</v>
      </c>
      <c r="B186" s="10">
        <v>43753.0</v>
      </c>
      <c r="C186" s="9" t="s">
        <v>441</v>
      </c>
      <c r="D186" s="11" t="s">
        <v>444</v>
      </c>
      <c r="E186" s="9">
        <v>5.07648749E8</v>
      </c>
      <c r="F186" s="12" t="s">
        <v>445</v>
      </c>
      <c r="G186" s="9" t="s">
        <v>28</v>
      </c>
      <c r="H186" s="9" t="s">
        <v>385</v>
      </c>
      <c r="I186" s="13"/>
      <c r="J186" s="13"/>
      <c r="K186" s="14"/>
      <c r="L186" s="13"/>
      <c r="M186" s="14"/>
      <c r="N186" s="15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9">
        <v>185.0</v>
      </c>
      <c r="B187" s="10">
        <v>43741.0</v>
      </c>
      <c r="C187" s="9" t="s">
        <v>446</v>
      </c>
      <c r="D187" s="11" t="s">
        <v>447</v>
      </c>
      <c r="E187" s="9">
        <v>8.801819650161E12</v>
      </c>
      <c r="F187" s="12" t="s">
        <v>448</v>
      </c>
      <c r="G187" s="9" t="s">
        <v>28</v>
      </c>
      <c r="H187" s="9" t="s">
        <v>385</v>
      </c>
      <c r="I187" s="13"/>
      <c r="J187" s="13"/>
      <c r="K187" s="14"/>
      <c r="L187" s="13"/>
      <c r="M187" s="14"/>
      <c r="N187" s="15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9">
        <v>186.0</v>
      </c>
      <c r="B188" s="10">
        <v>43741.0</v>
      </c>
      <c r="C188" s="9" t="s">
        <v>446</v>
      </c>
      <c r="D188" s="11" t="s">
        <v>449</v>
      </c>
      <c r="E188" s="9">
        <v>9.71566003312E11</v>
      </c>
      <c r="F188" s="12" t="s">
        <v>450</v>
      </c>
      <c r="G188" s="9" t="s">
        <v>28</v>
      </c>
      <c r="H188" s="9" t="s">
        <v>385</v>
      </c>
      <c r="I188" s="13"/>
      <c r="J188" s="13"/>
      <c r="K188" s="14"/>
      <c r="L188" s="13"/>
      <c r="M188" s="14"/>
      <c r="N188" s="15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9">
        <v>187.0</v>
      </c>
      <c r="B189" s="10">
        <v>43941.0</v>
      </c>
      <c r="C189" s="9" t="s">
        <v>438</v>
      </c>
      <c r="D189" s="11" t="s">
        <v>451</v>
      </c>
      <c r="E189" s="9">
        <v>5.08413953E8</v>
      </c>
      <c r="F189" s="12" t="s">
        <v>452</v>
      </c>
      <c r="G189" s="9" t="s">
        <v>28</v>
      </c>
      <c r="H189" s="9" t="s">
        <v>385</v>
      </c>
      <c r="I189" s="13"/>
      <c r="J189" s="13"/>
      <c r="K189" s="14"/>
      <c r="L189" s="13"/>
      <c r="M189" s="14"/>
      <c r="N189" s="15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9">
        <v>188.0</v>
      </c>
      <c r="B190" s="10">
        <v>43765.0</v>
      </c>
      <c r="C190" s="9" t="s">
        <v>453</v>
      </c>
      <c r="D190" s="11" t="s">
        <v>454</v>
      </c>
      <c r="E190" s="9">
        <v>9.23337061201E11</v>
      </c>
      <c r="F190" s="9" t="s">
        <v>410</v>
      </c>
      <c r="G190" s="9" t="s">
        <v>455</v>
      </c>
      <c r="H190" s="9" t="s">
        <v>385</v>
      </c>
      <c r="I190" s="13"/>
      <c r="J190" s="13"/>
      <c r="K190" s="14"/>
      <c r="L190" s="13"/>
      <c r="M190" s="14"/>
      <c r="N190" s="15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9">
        <v>189.0</v>
      </c>
      <c r="B191" s="10">
        <v>43787.0</v>
      </c>
      <c r="C191" s="9" t="s">
        <v>456</v>
      </c>
      <c r="D191" s="11" t="s">
        <v>457</v>
      </c>
      <c r="E191" s="9">
        <v>9.710507967228E12</v>
      </c>
      <c r="F191" s="12" t="s">
        <v>458</v>
      </c>
      <c r="G191" s="9" t="s">
        <v>455</v>
      </c>
      <c r="H191" s="9" t="s">
        <v>385</v>
      </c>
      <c r="I191" s="13"/>
      <c r="J191" s="13"/>
      <c r="K191" s="14"/>
      <c r="L191" s="13"/>
      <c r="M191" s="14"/>
      <c r="N191" s="14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9">
        <v>190.0</v>
      </c>
      <c r="B192" s="10">
        <v>43941.0</v>
      </c>
      <c r="C192" s="9" t="s">
        <v>438</v>
      </c>
      <c r="D192" s="11" t="s">
        <v>459</v>
      </c>
      <c r="E192" s="9">
        <v>9.71556873523E11</v>
      </c>
      <c r="F192" s="12" t="s">
        <v>460</v>
      </c>
      <c r="G192" s="9" t="s">
        <v>455</v>
      </c>
      <c r="H192" s="9" t="s">
        <v>385</v>
      </c>
      <c r="I192" s="13"/>
      <c r="J192" s="13"/>
      <c r="K192" s="14"/>
      <c r="L192" s="13"/>
      <c r="M192" s="14"/>
      <c r="N192" s="15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9">
        <v>191.0</v>
      </c>
      <c r="B193" s="10">
        <v>43941.0</v>
      </c>
      <c r="C193" s="9" t="s">
        <v>438</v>
      </c>
      <c r="D193" s="11" t="s">
        <v>461</v>
      </c>
      <c r="E193" s="9">
        <v>9.660532641797E12</v>
      </c>
      <c r="F193" s="12" t="s">
        <v>462</v>
      </c>
      <c r="G193" s="9" t="s">
        <v>455</v>
      </c>
      <c r="H193" s="9" t="s">
        <v>385</v>
      </c>
      <c r="I193" s="13"/>
      <c r="J193" s="13"/>
      <c r="K193" s="14"/>
      <c r="L193" s="13"/>
      <c r="M193" s="14"/>
      <c r="N193" s="15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9">
        <v>192.0</v>
      </c>
      <c r="B194" s="10">
        <v>43775.0</v>
      </c>
      <c r="C194" s="9" t="s">
        <v>420</v>
      </c>
      <c r="D194" s="11" t="s">
        <v>463</v>
      </c>
      <c r="E194" s="9">
        <v>4.40740002022E12</v>
      </c>
      <c r="F194" s="12" t="s">
        <v>464</v>
      </c>
      <c r="G194" s="9" t="s">
        <v>187</v>
      </c>
      <c r="H194" s="9" t="s">
        <v>206</v>
      </c>
      <c r="I194" s="13"/>
      <c r="J194" s="13"/>
      <c r="K194" s="14"/>
      <c r="L194" s="13"/>
      <c r="M194" s="14"/>
      <c r="N194" s="15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9">
        <v>193.0</v>
      </c>
      <c r="B195" s="23">
        <v>43958.0</v>
      </c>
      <c r="C195" s="9" t="s">
        <v>465</v>
      </c>
      <c r="D195" s="11" t="s">
        <v>466</v>
      </c>
      <c r="E195" s="17">
        <f>+971585927247</f>
        <v>971585927247</v>
      </c>
      <c r="F195" s="12" t="s">
        <v>467</v>
      </c>
      <c r="G195" s="9" t="s">
        <v>138</v>
      </c>
      <c r="H195" s="9" t="s">
        <v>17</v>
      </c>
      <c r="I195" s="13"/>
      <c r="J195" s="13"/>
      <c r="K195" s="14"/>
      <c r="L195" s="13"/>
      <c r="M195" s="14"/>
      <c r="N195" s="15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9">
        <v>194.0</v>
      </c>
      <c r="B196" s="9" t="s">
        <v>468</v>
      </c>
      <c r="C196" s="9" t="s">
        <v>393</v>
      </c>
      <c r="D196" s="11" t="s">
        <v>84</v>
      </c>
      <c r="E196" s="9" t="s">
        <v>469</v>
      </c>
      <c r="F196" s="12" t="s">
        <v>470</v>
      </c>
      <c r="G196" s="9" t="s">
        <v>471</v>
      </c>
      <c r="H196" s="9" t="s">
        <v>13</v>
      </c>
      <c r="I196" s="13"/>
      <c r="J196" s="13"/>
      <c r="K196" s="14"/>
      <c r="L196" s="13"/>
      <c r="M196" s="14"/>
      <c r="N196" s="15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9">
        <v>195.0</v>
      </c>
      <c r="B197" s="9" t="s">
        <v>472</v>
      </c>
      <c r="C197" s="9" t="s">
        <v>473</v>
      </c>
      <c r="D197" s="11" t="s">
        <v>474</v>
      </c>
      <c r="E197" s="9">
        <v>9.710557456789E12</v>
      </c>
      <c r="F197" s="12" t="s">
        <v>475</v>
      </c>
      <c r="G197" s="9" t="s">
        <v>52</v>
      </c>
      <c r="H197" s="9" t="s">
        <v>21</v>
      </c>
      <c r="I197" s="13"/>
      <c r="J197" s="13"/>
      <c r="K197" s="14"/>
      <c r="L197" s="13"/>
      <c r="M197" s="14"/>
      <c r="N197" s="15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9">
        <v>196.0</v>
      </c>
      <c r="B198" s="9" t="s">
        <v>476</v>
      </c>
      <c r="C198" s="9" t="s">
        <v>309</v>
      </c>
      <c r="D198" s="11" t="s">
        <v>477</v>
      </c>
      <c r="E198" s="9">
        <v>9.71919810529775E14</v>
      </c>
      <c r="F198" s="12" t="s">
        <v>478</v>
      </c>
      <c r="G198" s="9" t="s">
        <v>28</v>
      </c>
      <c r="H198" s="9" t="s">
        <v>13</v>
      </c>
      <c r="I198" s="13"/>
      <c r="J198" s="13"/>
      <c r="K198" s="14"/>
      <c r="L198" s="13"/>
      <c r="M198" s="14"/>
      <c r="N198" s="15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9">
        <v>197.0</v>
      </c>
      <c r="B199" s="9" t="s">
        <v>476</v>
      </c>
      <c r="C199" s="9" t="s">
        <v>473</v>
      </c>
      <c r="D199" s="11" t="s">
        <v>479</v>
      </c>
      <c r="E199" s="9">
        <v>9.710509785673E12</v>
      </c>
      <c r="F199" s="12" t="s">
        <v>480</v>
      </c>
      <c r="G199" s="9" t="s">
        <v>12</v>
      </c>
      <c r="H199" s="9" t="s">
        <v>13</v>
      </c>
      <c r="I199" s="13"/>
      <c r="J199" s="13"/>
      <c r="K199" s="14"/>
      <c r="L199" s="13"/>
      <c r="M199" s="14"/>
      <c r="N199" s="15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9">
        <v>198.0</v>
      </c>
      <c r="B200" s="9" t="s">
        <v>481</v>
      </c>
      <c r="C200" s="9" t="s">
        <v>473</v>
      </c>
      <c r="D200" s="11" t="s">
        <v>482</v>
      </c>
      <c r="E200" s="9">
        <v>9.710522151259E12</v>
      </c>
      <c r="F200" s="12" t="s">
        <v>483</v>
      </c>
      <c r="G200" s="9" t="s">
        <v>176</v>
      </c>
      <c r="H200" s="9" t="s">
        <v>17</v>
      </c>
      <c r="I200" s="13"/>
      <c r="J200" s="13"/>
      <c r="K200" s="14"/>
      <c r="L200" s="13"/>
      <c r="M200" s="14"/>
      <c r="N200" s="15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9">
        <v>199.0</v>
      </c>
      <c r="B201" s="9" t="s">
        <v>484</v>
      </c>
      <c r="C201" s="9" t="s">
        <v>473</v>
      </c>
      <c r="D201" s="11" t="s">
        <v>485</v>
      </c>
      <c r="E201" s="9">
        <v>9.710558343563E12</v>
      </c>
      <c r="F201" s="12" t="s">
        <v>486</v>
      </c>
      <c r="G201" s="9" t="s">
        <v>176</v>
      </c>
      <c r="H201" s="9" t="s">
        <v>13</v>
      </c>
      <c r="I201" s="13"/>
      <c r="J201" s="13"/>
      <c r="K201" s="14"/>
      <c r="L201" s="13"/>
      <c r="M201" s="14"/>
      <c r="N201" s="15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9">
        <v>200.0</v>
      </c>
      <c r="B202" s="9" t="s">
        <v>487</v>
      </c>
      <c r="C202" s="9" t="s">
        <v>473</v>
      </c>
      <c r="D202" s="11" t="s">
        <v>488</v>
      </c>
      <c r="E202" s="9">
        <v>9.710529499069E12</v>
      </c>
      <c r="F202" s="12" t="s">
        <v>489</v>
      </c>
      <c r="G202" s="9" t="s">
        <v>80</v>
      </c>
      <c r="H202" s="9" t="s">
        <v>13</v>
      </c>
      <c r="I202" s="13"/>
      <c r="J202" s="13"/>
      <c r="K202" s="14"/>
      <c r="L202" s="13"/>
      <c r="M202" s="14"/>
      <c r="N202" s="15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9">
        <v>201.0</v>
      </c>
      <c r="B203" s="9" t="s">
        <v>490</v>
      </c>
      <c r="C203" s="9" t="s">
        <v>473</v>
      </c>
      <c r="D203" s="11" t="s">
        <v>491</v>
      </c>
      <c r="E203" s="9">
        <v>9.20507530082E11</v>
      </c>
      <c r="F203" s="12" t="s">
        <v>492</v>
      </c>
      <c r="G203" s="9" t="s">
        <v>80</v>
      </c>
      <c r="H203" s="9" t="s">
        <v>41</v>
      </c>
      <c r="I203" s="13"/>
      <c r="J203" s="13"/>
      <c r="K203" s="14"/>
      <c r="L203" s="13"/>
      <c r="M203" s="14"/>
      <c r="N203" s="15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9">
        <v>202.0</v>
      </c>
      <c r="B204" s="9" t="s">
        <v>493</v>
      </c>
      <c r="C204" s="9" t="s">
        <v>393</v>
      </c>
      <c r="D204" s="11" t="s">
        <v>494</v>
      </c>
      <c r="E204" s="9">
        <v>9.71503370333E11</v>
      </c>
      <c r="F204" s="12" t="s">
        <v>495</v>
      </c>
      <c r="G204" s="9" t="s">
        <v>96</v>
      </c>
      <c r="H204" s="9" t="s">
        <v>13</v>
      </c>
      <c r="I204" s="13"/>
      <c r="J204" s="13"/>
      <c r="K204" s="14"/>
      <c r="L204" s="13"/>
      <c r="M204" s="22"/>
      <c r="N204" s="15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9">
        <v>203.0</v>
      </c>
      <c r="B205" s="9" t="s">
        <v>493</v>
      </c>
      <c r="C205" s="9" t="s">
        <v>393</v>
      </c>
      <c r="D205" s="11" t="s">
        <v>496</v>
      </c>
      <c r="E205" s="9">
        <v>9.66506125555E11</v>
      </c>
      <c r="F205" s="12" t="s">
        <v>497</v>
      </c>
      <c r="G205" s="9" t="s">
        <v>57</v>
      </c>
      <c r="H205" s="9" t="s">
        <v>260</v>
      </c>
      <c r="I205" s="13"/>
      <c r="J205" s="13"/>
      <c r="K205" s="14"/>
      <c r="L205" s="13"/>
      <c r="M205" s="14"/>
      <c r="N205" s="15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9">
        <v>204.0</v>
      </c>
      <c r="B206" s="10">
        <v>44088.0</v>
      </c>
      <c r="C206" s="9" t="s">
        <v>309</v>
      </c>
      <c r="D206" s="11" t="s">
        <v>498</v>
      </c>
      <c r="E206" s="9">
        <v>9.66542406655E11</v>
      </c>
      <c r="F206" s="12" t="s">
        <v>499</v>
      </c>
      <c r="G206" s="9" t="s">
        <v>364</v>
      </c>
      <c r="H206" s="9" t="s">
        <v>41</v>
      </c>
      <c r="I206" s="13"/>
      <c r="J206" s="13"/>
      <c r="K206" s="14"/>
      <c r="L206" s="13"/>
      <c r="M206" s="14"/>
      <c r="N206" s="15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9">
        <v>205.0</v>
      </c>
      <c r="B207" s="10">
        <v>44088.0</v>
      </c>
      <c r="C207" s="9" t="s">
        <v>309</v>
      </c>
      <c r="D207" s="11" t="s">
        <v>500</v>
      </c>
      <c r="E207" s="9">
        <v>3.5699448416E10</v>
      </c>
      <c r="F207" s="12" t="s">
        <v>501</v>
      </c>
      <c r="G207" s="9" t="s">
        <v>364</v>
      </c>
      <c r="H207" s="9" t="s">
        <v>260</v>
      </c>
      <c r="I207" s="13"/>
      <c r="J207" s="13"/>
      <c r="K207" s="14"/>
      <c r="L207" s="13"/>
      <c r="M207" s="14"/>
      <c r="N207" s="15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9">
        <v>206.0</v>
      </c>
      <c r="B208" s="10">
        <v>44088.0</v>
      </c>
      <c r="C208" s="9" t="s">
        <v>393</v>
      </c>
      <c r="D208" s="11" t="s">
        <v>502</v>
      </c>
      <c r="E208" s="9">
        <v>9.66559222629E11</v>
      </c>
      <c r="F208" s="12" t="s">
        <v>503</v>
      </c>
      <c r="G208" s="9" t="s">
        <v>57</v>
      </c>
      <c r="H208" s="9" t="s">
        <v>17</v>
      </c>
      <c r="I208" s="13"/>
      <c r="J208" s="13"/>
      <c r="K208" s="14"/>
      <c r="L208" s="13"/>
      <c r="M208" s="14"/>
      <c r="N208" s="15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9">
        <v>207.0</v>
      </c>
      <c r="B209" s="10">
        <v>44088.0</v>
      </c>
      <c r="C209" s="9" t="s">
        <v>393</v>
      </c>
      <c r="D209" s="11" t="s">
        <v>504</v>
      </c>
      <c r="E209" s="9">
        <v>9.660531590942E12</v>
      </c>
      <c r="F209" s="12" t="s">
        <v>505</v>
      </c>
      <c r="G209" s="9" t="s">
        <v>12</v>
      </c>
      <c r="H209" s="9" t="s">
        <v>13</v>
      </c>
      <c r="I209" s="13"/>
      <c r="J209" s="13"/>
      <c r="K209" s="14"/>
      <c r="L209" s="13"/>
      <c r="M209" s="14"/>
      <c r="N209" s="15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9">
        <v>208.0</v>
      </c>
      <c r="B210" s="10">
        <v>44088.0</v>
      </c>
      <c r="C210" s="9" t="s">
        <v>309</v>
      </c>
      <c r="D210" s="11" t="s">
        <v>506</v>
      </c>
      <c r="E210" s="9">
        <v>9.710506433743E12</v>
      </c>
      <c r="F210" s="12" t="s">
        <v>507</v>
      </c>
      <c r="G210" s="9" t="s">
        <v>134</v>
      </c>
      <c r="H210" s="9" t="s">
        <v>41</v>
      </c>
      <c r="I210" s="13"/>
      <c r="J210" s="13"/>
      <c r="K210" s="14"/>
      <c r="L210" s="13"/>
      <c r="M210" s="14"/>
      <c r="N210" s="15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9">
        <v>209.0</v>
      </c>
      <c r="B211" s="10">
        <v>44088.0</v>
      </c>
      <c r="C211" s="9" t="s">
        <v>309</v>
      </c>
      <c r="D211" s="11" t="s">
        <v>508</v>
      </c>
      <c r="E211" s="9">
        <v>8.19032560666E11</v>
      </c>
      <c r="F211" s="12" t="s">
        <v>509</v>
      </c>
      <c r="G211" s="9" t="s">
        <v>25</v>
      </c>
      <c r="H211" s="9" t="s">
        <v>13</v>
      </c>
      <c r="I211" s="13"/>
      <c r="J211" s="13"/>
      <c r="K211" s="14"/>
      <c r="L211" s="13"/>
      <c r="M211" s="14"/>
      <c r="N211" s="15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9">
        <v>210.0</v>
      </c>
      <c r="B212" s="10">
        <v>44088.0</v>
      </c>
      <c r="C212" s="9" t="s">
        <v>309</v>
      </c>
      <c r="D212" s="11" t="s">
        <v>510</v>
      </c>
      <c r="E212" s="9">
        <v>9.710553582345E12</v>
      </c>
      <c r="F212" s="12" t="s">
        <v>511</v>
      </c>
      <c r="G212" s="9" t="s">
        <v>364</v>
      </c>
      <c r="H212" s="9" t="s">
        <v>41</v>
      </c>
      <c r="I212" s="13"/>
      <c r="J212" s="13"/>
      <c r="K212" s="14"/>
      <c r="L212" s="13"/>
      <c r="M212" s="14"/>
      <c r="N212" s="15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9">
        <v>211.0</v>
      </c>
      <c r="B213" s="10">
        <v>44087.0</v>
      </c>
      <c r="C213" s="9" t="s">
        <v>309</v>
      </c>
      <c r="D213" s="11" t="s">
        <v>512</v>
      </c>
      <c r="E213" s="9">
        <v>9.7155505554E11</v>
      </c>
      <c r="F213" s="12" t="s">
        <v>513</v>
      </c>
      <c r="G213" s="9" t="s">
        <v>52</v>
      </c>
      <c r="H213" s="9" t="s">
        <v>17</v>
      </c>
      <c r="I213" s="13"/>
      <c r="J213" s="13"/>
      <c r="K213" s="14"/>
      <c r="L213" s="13"/>
      <c r="M213" s="14"/>
      <c r="N213" s="15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9">
        <v>212.0</v>
      </c>
      <c r="B214" s="10">
        <v>44087.0</v>
      </c>
      <c r="C214" s="9" t="s">
        <v>309</v>
      </c>
      <c r="D214" s="11" t="s">
        <v>514</v>
      </c>
      <c r="E214" s="9">
        <v>9.66553266699E11</v>
      </c>
      <c r="F214" s="12" t="s">
        <v>515</v>
      </c>
      <c r="G214" s="9" t="s">
        <v>364</v>
      </c>
      <c r="H214" s="9" t="s">
        <v>41</v>
      </c>
      <c r="I214" s="13"/>
      <c r="J214" s="13"/>
      <c r="K214" s="14"/>
      <c r="L214" s="13"/>
      <c r="M214" s="14"/>
      <c r="N214" s="15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9">
        <v>213.0</v>
      </c>
      <c r="B215" s="10">
        <v>44087.0</v>
      </c>
      <c r="C215" s="9" t="s">
        <v>309</v>
      </c>
      <c r="D215" s="11" t="s">
        <v>516</v>
      </c>
      <c r="E215" s="9">
        <v>9.710555970517E12</v>
      </c>
      <c r="F215" s="12" t="s">
        <v>517</v>
      </c>
      <c r="G215" s="9" t="s">
        <v>432</v>
      </c>
      <c r="H215" s="9" t="s">
        <v>260</v>
      </c>
      <c r="I215" s="13"/>
      <c r="J215" s="13"/>
      <c r="K215" s="14"/>
      <c r="L215" s="13"/>
      <c r="M215" s="14"/>
      <c r="N215" s="15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9">
        <v>214.0</v>
      </c>
      <c r="B216" s="10">
        <v>44087.0</v>
      </c>
      <c r="C216" s="9" t="s">
        <v>309</v>
      </c>
      <c r="D216" s="11" t="s">
        <v>518</v>
      </c>
      <c r="E216" s="9">
        <v>9.71552323723E11</v>
      </c>
      <c r="F216" s="12" t="s">
        <v>519</v>
      </c>
      <c r="G216" s="9" t="s">
        <v>134</v>
      </c>
      <c r="H216" s="9" t="s">
        <v>13</v>
      </c>
      <c r="I216" s="13"/>
      <c r="J216" s="13"/>
      <c r="K216" s="14"/>
      <c r="L216" s="13"/>
      <c r="M216" s="14"/>
      <c r="N216" s="15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9">
        <v>215.0</v>
      </c>
      <c r="B217" s="10">
        <v>44087.0</v>
      </c>
      <c r="C217" s="9" t="s">
        <v>309</v>
      </c>
      <c r="D217" s="11" t="s">
        <v>520</v>
      </c>
      <c r="E217" s="9">
        <v>9.71052273082E12</v>
      </c>
      <c r="F217" s="12" t="s">
        <v>521</v>
      </c>
      <c r="G217" s="9" t="s">
        <v>80</v>
      </c>
      <c r="H217" s="9" t="s">
        <v>41</v>
      </c>
      <c r="I217" s="13"/>
      <c r="J217" s="13"/>
      <c r="K217" s="14"/>
      <c r="L217" s="13"/>
      <c r="M217" s="14"/>
      <c r="N217" s="15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9">
        <v>216.0</v>
      </c>
      <c r="B218" s="10">
        <v>44086.0</v>
      </c>
      <c r="C218" s="9" t="s">
        <v>309</v>
      </c>
      <c r="D218" s="11">
        <v>9.66556644067E11</v>
      </c>
      <c r="E218" s="9">
        <v>9.660556644067E12</v>
      </c>
      <c r="F218" s="12" t="s">
        <v>522</v>
      </c>
      <c r="G218" s="9" t="s">
        <v>184</v>
      </c>
      <c r="H218" s="9" t="s">
        <v>13</v>
      </c>
      <c r="I218" s="13"/>
      <c r="J218" s="13"/>
      <c r="K218" s="14"/>
      <c r="L218" s="13"/>
      <c r="M218" s="14"/>
      <c r="N218" s="15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9">
        <v>217.0</v>
      </c>
      <c r="B219" s="10">
        <v>44086.0</v>
      </c>
      <c r="C219" s="9" t="s">
        <v>309</v>
      </c>
      <c r="D219" s="11" t="s">
        <v>523</v>
      </c>
      <c r="E219" s="9">
        <v>9.710505381984E12</v>
      </c>
      <c r="F219" s="12" t="s">
        <v>524</v>
      </c>
      <c r="G219" s="9" t="s">
        <v>525</v>
      </c>
      <c r="H219" s="9" t="s">
        <v>13</v>
      </c>
      <c r="I219" s="13"/>
      <c r="J219" s="13"/>
      <c r="K219" s="14"/>
      <c r="L219" s="13"/>
      <c r="M219" s="14"/>
      <c r="N219" s="15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9">
        <v>218.0</v>
      </c>
      <c r="B220" s="10">
        <v>44086.0</v>
      </c>
      <c r="C220" s="9" t="s">
        <v>309</v>
      </c>
      <c r="D220" s="11" t="s">
        <v>526</v>
      </c>
      <c r="E220" s="9">
        <v>9.71501554375E11</v>
      </c>
      <c r="F220" s="12" t="s">
        <v>527</v>
      </c>
      <c r="G220" s="9" t="s">
        <v>300</v>
      </c>
      <c r="H220" s="9" t="s">
        <v>17</v>
      </c>
      <c r="I220" s="13"/>
      <c r="J220" s="13"/>
      <c r="K220" s="14"/>
      <c r="L220" s="13"/>
      <c r="M220" s="14"/>
      <c r="N220" s="15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9">
        <v>219.0</v>
      </c>
      <c r="B221" s="10">
        <v>44086.0</v>
      </c>
      <c r="C221" s="9" t="s">
        <v>309</v>
      </c>
      <c r="D221" s="11" t="s">
        <v>528</v>
      </c>
      <c r="E221" s="9">
        <v>9.71551231314E11</v>
      </c>
      <c r="F221" s="12" t="s">
        <v>529</v>
      </c>
      <c r="G221" s="9" t="s">
        <v>364</v>
      </c>
      <c r="H221" s="9" t="s">
        <v>41</v>
      </c>
      <c r="I221" s="13"/>
      <c r="J221" s="13"/>
      <c r="K221" s="14"/>
      <c r="L221" s="13"/>
      <c r="M221" s="14"/>
      <c r="N221" s="15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9">
        <v>220.0</v>
      </c>
      <c r="B222" s="10">
        <v>44086.0</v>
      </c>
      <c r="C222" s="9" t="s">
        <v>309</v>
      </c>
      <c r="D222" s="11" t="s">
        <v>530</v>
      </c>
      <c r="E222" s="9">
        <v>9.710565486101E12</v>
      </c>
      <c r="F222" s="12" t="s">
        <v>531</v>
      </c>
      <c r="G222" s="9" t="s">
        <v>52</v>
      </c>
      <c r="H222" s="9" t="s">
        <v>21</v>
      </c>
      <c r="I222" s="13"/>
      <c r="J222" s="13"/>
      <c r="K222" s="14"/>
      <c r="L222" s="13"/>
      <c r="M222" s="14"/>
      <c r="N222" s="15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9">
        <v>221.0</v>
      </c>
      <c r="B223" s="10">
        <v>44086.0</v>
      </c>
      <c r="C223" s="9" t="s">
        <v>309</v>
      </c>
      <c r="D223" s="11" t="s">
        <v>532</v>
      </c>
      <c r="E223" s="9">
        <v>9.710562161109E12</v>
      </c>
      <c r="F223" s="12" t="s">
        <v>533</v>
      </c>
      <c r="G223" s="9" t="s">
        <v>432</v>
      </c>
      <c r="H223" s="9" t="s">
        <v>21</v>
      </c>
      <c r="I223" s="13"/>
      <c r="J223" s="13"/>
      <c r="K223" s="14"/>
      <c r="L223" s="13"/>
      <c r="M223" s="14"/>
      <c r="N223" s="15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9">
        <v>222.0</v>
      </c>
      <c r="B224" s="10">
        <v>44085.0</v>
      </c>
      <c r="C224" s="9" t="s">
        <v>309</v>
      </c>
      <c r="D224" s="11" t="s">
        <v>534</v>
      </c>
      <c r="E224" s="9">
        <v>9.7477667071E10</v>
      </c>
      <c r="F224" s="12" t="s">
        <v>535</v>
      </c>
      <c r="G224" s="9" t="s">
        <v>96</v>
      </c>
      <c r="H224" s="9" t="s">
        <v>13</v>
      </c>
      <c r="I224" s="13"/>
      <c r="J224" s="13"/>
      <c r="K224" s="14"/>
      <c r="L224" s="13"/>
      <c r="M224" s="14"/>
      <c r="N224" s="15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9">
        <v>223.0</v>
      </c>
      <c r="B225" s="10">
        <v>44085.0</v>
      </c>
      <c r="C225" s="9" t="s">
        <v>473</v>
      </c>
      <c r="D225" s="11" t="s">
        <v>536</v>
      </c>
      <c r="E225" s="9">
        <v>9.71050276751E12</v>
      </c>
      <c r="F225" s="12" t="s">
        <v>537</v>
      </c>
      <c r="G225" s="9" t="s">
        <v>176</v>
      </c>
      <c r="H225" s="9" t="s">
        <v>17</v>
      </c>
      <c r="I225" s="13"/>
      <c r="J225" s="13"/>
      <c r="K225" s="14"/>
      <c r="L225" s="13"/>
      <c r="M225" s="14"/>
      <c r="N225" s="15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9">
        <v>224.0</v>
      </c>
      <c r="B226" s="10">
        <v>44085.0</v>
      </c>
      <c r="C226" s="9" t="s">
        <v>309</v>
      </c>
      <c r="D226" s="11" t="s">
        <v>538</v>
      </c>
      <c r="E226" s="9">
        <v>9.710567521075E12</v>
      </c>
      <c r="F226" s="12" t="s">
        <v>539</v>
      </c>
      <c r="G226" s="9" t="s">
        <v>60</v>
      </c>
      <c r="H226" s="9" t="s">
        <v>13</v>
      </c>
      <c r="I226" s="13"/>
      <c r="J226" s="13"/>
      <c r="K226" s="14"/>
      <c r="L226" s="13"/>
      <c r="M226" s="14"/>
      <c r="N226" s="15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9">
        <v>225.0</v>
      </c>
      <c r="B227" s="10">
        <v>44085.0</v>
      </c>
      <c r="C227" s="9" t="s">
        <v>473</v>
      </c>
      <c r="D227" s="11" t="s">
        <v>84</v>
      </c>
      <c r="E227" s="9">
        <v>9.710506679551E12</v>
      </c>
      <c r="F227" s="12" t="s">
        <v>540</v>
      </c>
      <c r="G227" s="9" t="s">
        <v>80</v>
      </c>
      <c r="H227" s="9" t="s">
        <v>41</v>
      </c>
      <c r="I227" s="13"/>
      <c r="J227" s="13"/>
      <c r="K227" s="14"/>
      <c r="L227" s="13"/>
      <c r="M227" s="14"/>
      <c r="N227" s="15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9">
        <v>226.0</v>
      </c>
      <c r="B228" s="10">
        <v>44085.0</v>
      </c>
      <c r="C228" s="9" t="s">
        <v>309</v>
      </c>
      <c r="D228" s="11" t="s">
        <v>541</v>
      </c>
      <c r="E228" s="9">
        <v>9.71504449097E11</v>
      </c>
      <c r="F228" s="12" t="s">
        <v>542</v>
      </c>
      <c r="G228" s="9" t="s">
        <v>134</v>
      </c>
      <c r="H228" s="9" t="s">
        <v>13</v>
      </c>
      <c r="I228" s="13"/>
      <c r="J228" s="13"/>
      <c r="K228" s="14"/>
      <c r="L228" s="13"/>
      <c r="M228" s="14"/>
      <c r="N228" s="15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9">
        <v>227.0</v>
      </c>
      <c r="B229" s="10">
        <v>44085.0</v>
      </c>
      <c r="C229" s="9" t="s">
        <v>309</v>
      </c>
      <c r="D229" s="11" t="s">
        <v>543</v>
      </c>
      <c r="E229" s="9">
        <v>9.710552565345E12</v>
      </c>
      <c r="F229" s="12" t="s">
        <v>544</v>
      </c>
      <c r="G229" s="9" t="s">
        <v>52</v>
      </c>
      <c r="H229" s="9" t="s">
        <v>73</v>
      </c>
      <c r="I229" s="13"/>
      <c r="J229" s="13"/>
      <c r="K229" s="14"/>
      <c r="L229" s="13"/>
      <c r="M229" s="14"/>
      <c r="N229" s="15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9">
        <v>228.0</v>
      </c>
      <c r="B230" s="10">
        <v>44085.0</v>
      </c>
      <c r="C230" s="9" t="s">
        <v>309</v>
      </c>
      <c r="D230" s="11" t="s">
        <v>545</v>
      </c>
      <c r="E230" s="9">
        <v>1.6476431596E10</v>
      </c>
      <c r="F230" s="12" t="s">
        <v>546</v>
      </c>
      <c r="G230" s="9" t="s">
        <v>52</v>
      </c>
      <c r="H230" s="9" t="s">
        <v>17</v>
      </c>
      <c r="I230" s="13"/>
      <c r="J230" s="13"/>
      <c r="K230" s="14"/>
      <c r="L230" s="13"/>
      <c r="M230" s="14"/>
      <c r="N230" s="15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9">
        <v>229.0</v>
      </c>
      <c r="B231" s="10">
        <v>44085.0</v>
      </c>
      <c r="C231" s="9" t="s">
        <v>309</v>
      </c>
      <c r="D231" s="11" t="s">
        <v>547</v>
      </c>
      <c r="E231" s="9">
        <v>9.710526348627E12</v>
      </c>
      <c r="F231" s="12" t="s">
        <v>548</v>
      </c>
      <c r="G231" s="9" t="s">
        <v>134</v>
      </c>
      <c r="H231" s="9" t="s">
        <v>260</v>
      </c>
      <c r="I231" s="13"/>
      <c r="J231" s="13"/>
      <c r="K231" s="14"/>
      <c r="L231" s="13"/>
      <c r="M231" s="14"/>
      <c r="N231" s="15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9">
        <v>230.0</v>
      </c>
      <c r="B232" s="10">
        <v>44084.0</v>
      </c>
      <c r="C232" s="9" t="s">
        <v>393</v>
      </c>
      <c r="D232" s="11" t="s">
        <v>549</v>
      </c>
      <c r="E232" s="9">
        <v>9.710503387171E12</v>
      </c>
      <c r="F232" s="12" t="s">
        <v>550</v>
      </c>
      <c r="G232" s="9" t="s">
        <v>35</v>
      </c>
      <c r="H232" s="9" t="s">
        <v>13</v>
      </c>
      <c r="I232" s="13"/>
      <c r="J232" s="13"/>
      <c r="K232" s="14"/>
      <c r="L232" s="13"/>
      <c r="M232" s="14"/>
      <c r="N232" s="15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9">
        <v>231.0</v>
      </c>
      <c r="B233" s="10">
        <v>44084.0</v>
      </c>
      <c r="C233" s="9" t="s">
        <v>473</v>
      </c>
      <c r="D233" s="11" t="s">
        <v>551</v>
      </c>
      <c r="E233" s="9">
        <v>9.71552335566E11</v>
      </c>
      <c r="F233" s="12" t="s">
        <v>552</v>
      </c>
      <c r="G233" s="9" t="s">
        <v>176</v>
      </c>
      <c r="H233" s="9" t="s">
        <v>206</v>
      </c>
      <c r="I233" s="13"/>
      <c r="J233" s="13"/>
      <c r="K233" s="14"/>
      <c r="L233" s="13"/>
      <c r="M233" s="14"/>
      <c r="N233" s="15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9">
        <v>232.0</v>
      </c>
      <c r="B234" s="10">
        <v>44084.0</v>
      </c>
      <c r="C234" s="9" t="s">
        <v>309</v>
      </c>
      <c r="D234" s="11" t="s">
        <v>553</v>
      </c>
      <c r="E234" s="9">
        <v>9.710503419285E12</v>
      </c>
      <c r="F234" s="12" t="s">
        <v>554</v>
      </c>
      <c r="G234" s="9" t="s">
        <v>60</v>
      </c>
      <c r="H234" s="9" t="s">
        <v>13</v>
      </c>
      <c r="I234" s="13"/>
      <c r="J234" s="13"/>
      <c r="K234" s="14"/>
      <c r="L234" s="13"/>
      <c r="M234" s="14"/>
      <c r="N234" s="15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9">
        <v>233.0</v>
      </c>
      <c r="B235" s="10">
        <v>44084.0</v>
      </c>
      <c r="C235" s="9" t="s">
        <v>309</v>
      </c>
      <c r="D235" s="11" t="s">
        <v>555</v>
      </c>
      <c r="E235" s="9">
        <v>9.7455875275E10</v>
      </c>
      <c r="F235" s="12" t="s">
        <v>556</v>
      </c>
      <c r="G235" s="9" t="s">
        <v>52</v>
      </c>
      <c r="H235" s="9" t="s">
        <v>41</v>
      </c>
      <c r="I235" s="13"/>
      <c r="J235" s="13"/>
      <c r="K235" s="14"/>
      <c r="L235" s="13"/>
      <c r="M235" s="14"/>
      <c r="N235" s="15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9">
        <v>234.0</v>
      </c>
      <c r="B236" s="10">
        <v>44084.0</v>
      </c>
      <c r="C236" s="9" t="s">
        <v>309</v>
      </c>
      <c r="D236" s="11" t="s">
        <v>557</v>
      </c>
      <c r="E236" s="9">
        <v>1.5712911773E10</v>
      </c>
      <c r="F236" s="12" t="s">
        <v>558</v>
      </c>
      <c r="G236" s="9" t="s">
        <v>190</v>
      </c>
      <c r="H236" s="9" t="s">
        <v>13</v>
      </c>
      <c r="I236" s="13"/>
      <c r="J236" s="13"/>
      <c r="K236" s="14"/>
      <c r="L236" s="13"/>
      <c r="M236" s="14"/>
      <c r="N236" s="15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9">
        <v>235.0</v>
      </c>
      <c r="B237" s="10">
        <v>44084.0</v>
      </c>
      <c r="C237" s="9" t="s">
        <v>309</v>
      </c>
      <c r="D237" s="11" t="s">
        <v>559</v>
      </c>
      <c r="E237" s="9">
        <v>9.710506544378E12</v>
      </c>
      <c r="F237" s="12" t="s">
        <v>560</v>
      </c>
      <c r="G237" s="9" t="s">
        <v>181</v>
      </c>
      <c r="H237" s="9" t="s">
        <v>17</v>
      </c>
      <c r="I237" s="13"/>
      <c r="J237" s="13"/>
      <c r="K237" s="14"/>
      <c r="L237" s="13"/>
      <c r="M237" s="14"/>
      <c r="N237" s="15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9">
        <v>236.0</v>
      </c>
      <c r="B238" s="10">
        <v>44084.0</v>
      </c>
      <c r="C238" s="9" t="s">
        <v>309</v>
      </c>
      <c r="D238" s="11" t="s">
        <v>561</v>
      </c>
      <c r="E238" s="9">
        <v>9.710505776204E12</v>
      </c>
      <c r="F238" s="12" t="s">
        <v>562</v>
      </c>
      <c r="G238" s="9" t="s">
        <v>364</v>
      </c>
      <c r="H238" s="9" t="s">
        <v>17</v>
      </c>
      <c r="I238" s="13"/>
      <c r="J238" s="13"/>
      <c r="K238" s="14"/>
      <c r="L238" s="13"/>
      <c r="M238" s="14"/>
      <c r="N238" s="15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9">
        <v>237.0</v>
      </c>
      <c r="B239" s="10">
        <v>44084.0</v>
      </c>
      <c r="C239" s="9" t="s">
        <v>309</v>
      </c>
      <c r="D239" s="11" t="s">
        <v>563</v>
      </c>
      <c r="E239" s="9">
        <v>9.71055224178E12</v>
      </c>
      <c r="F239" s="12" t="s">
        <v>564</v>
      </c>
      <c r="G239" s="9" t="s">
        <v>364</v>
      </c>
      <c r="H239" s="9" t="s">
        <v>41</v>
      </c>
      <c r="I239" s="13"/>
      <c r="J239" s="13"/>
      <c r="K239" s="14"/>
      <c r="L239" s="13"/>
      <c r="M239" s="14"/>
      <c r="N239" s="15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9">
        <v>238.0</v>
      </c>
      <c r="B240" s="10">
        <v>44084.0</v>
      </c>
      <c r="C240" s="9" t="s">
        <v>309</v>
      </c>
      <c r="D240" s="11" t="s">
        <v>565</v>
      </c>
      <c r="E240" s="9">
        <v>9.71055928739E12</v>
      </c>
      <c r="F240" s="12" t="s">
        <v>566</v>
      </c>
      <c r="G240" s="9" t="s">
        <v>364</v>
      </c>
      <c r="H240" s="9" t="s">
        <v>41</v>
      </c>
      <c r="I240" s="13"/>
      <c r="J240" s="13"/>
      <c r="K240" s="14"/>
      <c r="L240" s="13"/>
      <c r="M240" s="14"/>
      <c r="N240" s="15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9">
        <v>239.0</v>
      </c>
      <c r="B241" s="10">
        <v>44084.0</v>
      </c>
      <c r="C241" s="9" t="s">
        <v>309</v>
      </c>
      <c r="D241" s="11" t="s">
        <v>58</v>
      </c>
      <c r="E241" s="9">
        <v>9.710503000093E12</v>
      </c>
      <c r="F241" s="12" t="s">
        <v>567</v>
      </c>
      <c r="G241" s="9" t="s">
        <v>52</v>
      </c>
      <c r="H241" s="9" t="s">
        <v>21</v>
      </c>
      <c r="I241" s="13"/>
      <c r="J241" s="13"/>
      <c r="K241" s="14"/>
      <c r="L241" s="13"/>
      <c r="M241" s="14"/>
      <c r="N241" s="15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9">
        <v>240.0</v>
      </c>
      <c r="B242" s="10">
        <v>44084.0</v>
      </c>
      <c r="C242" s="9" t="s">
        <v>309</v>
      </c>
      <c r="D242" s="11" t="s">
        <v>568</v>
      </c>
      <c r="E242" s="9">
        <v>9.23372102106E11</v>
      </c>
      <c r="F242" s="12" t="s">
        <v>569</v>
      </c>
      <c r="G242" s="9" t="s">
        <v>364</v>
      </c>
      <c r="H242" s="9" t="s">
        <v>41</v>
      </c>
      <c r="I242" s="13"/>
      <c r="J242" s="13"/>
      <c r="K242" s="14"/>
      <c r="L242" s="13"/>
      <c r="M242" s="14"/>
      <c r="N242" s="15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9">
        <v>241.0</v>
      </c>
      <c r="B243" s="10">
        <v>44084.0</v>
      </c>
      <c r="C243" s="9" t="s">
        <v>309</v>
      </c>
      <c r="D243" s="11" t="s">
        <v>570</v>
      </c>
      <c r="E243" s="9">
        <v>1.2067994647E10</v>
      </c>
      <c r="F243" s="12" t="s">
        <v>571</v>
      </c>
      <c r="G243" s="9" t="s">
        <v>52</v>
      </c>
      <c r="H243" s="9" t="s">
        <v>17</v>
      </c>
      <c r="I243" s="13"/>
      <c r="J243" s="13"/>
      <c r="K243" s="14"/>
      <c r="L243" s="13"/>
      <c r="M243" s="14"/>
      <c r="N243" s="15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9">
        <v>242.0</v>
      </c>
      <c r="B244" s="10">
        <v>44084.0</v>
      </c>
      <c r="C244" s="9" t="s">
        <v>309</v>
      </c>
      <c r="D244" s="11" t="s">
        <v>572</v>
      </c>
      <c r="E244" s="9">
        <v>9.17982721026E11</v>
      </c>
      <c r="F244" s="12" t="s">
        <v>573</v>
      </c>
      <c r="G244" s="9" t="s">
        <v>12</v>
      </c>
      <c r="H244" s="9" t="s">
        <v>13</v>
      </c>
      <c r="I244" s="13"/>
      <c r="J244" s="13"/>
      <c r="K244" s="14"/>
      <c r="L244" s="13"/>
      <c r="M244" s="14"/>
      <c r="N244" s="15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9">
        <v>243.0</v>
      </c>
      <c r="B245" s="10">
        <v>44084.0</v>
      </c>
      <c r="C245" s="9" t="s">
        <v>309</v>
      </c>
      <c r="D245" s="11" t="s">
        <v>574</v>
      </c>
      <c r="E245" s="9">
        <v>9.710507583908E12</v>
      </c>
      <c r="F245" s="12" t="s">
        <v>575</v>
      </c>
      <c r="G245" s="9" t="s">
        <v>432</v>
      </c>
      <c r="H245" s="9" t="s">
        <v>81</v>
      </c>
      <c r="I245" s="13"/>
      <c r="J245" s="13"/>
      <c r="K245" s="14"/>
      <c r="L245" s="13"/>
      <c r="M245" s="14"/>
      <c r="N245" s="15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9">
        <v>244.0</v>
      </c>
      <c r="B246" s="10">
        <v>44084.0</v>
      </c>
      <c r="C246" s="9" t="s">
        <v>309</v>
      </c>
      <c r="D246" s="11" t="s">
        <v>576</v>
      </c>
      <c r="E246" s="9">
        <v>9.710528665141E12</v>
      </c>
      <c r="F246" s="12" t="s">
        <v>577</v>
      </c>
      <c r="G246" s="9" t="s">
        <v>20</v>
      </c>
      <c r="H246" s="9" t="s">
        <v>13</v>
      </c>
      <c r="I246" s="13"/>
      <c r="J246" s="13"/>
      <c r="K246" s="14"/>
      <c r="L246" s="13"/>
      <c r="M246" s="14"/>
      <c r="N246" s="15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9">
        <v>245.0</v>
      </c>
      <c r="B247" s="10">
        <v>44084.0</v>
      </c>
      <c r="C247" s="9" t="s">
        <v>309</v>
      </c>
      <c r="D247" s="11" t="s">
        <v>578</v>
      </c>
      <c r="E247" s="9">
        <v>9.7150859502E11</v>
      </c>
      <c r="F247" s="12" t="s">
        <v>579</v>
      </c>
      <c r="G247" s="9" t="s">
        <v>432</v>
      </c>
      <c r="H247" s="9" t="s">
        <v>81</v>
      </c>
      <c r="I247" s="13"/>
      <c r="J247" s="13"/>
      <c r="K247" s="14"/>
      <c r="L247" s="13"/>
      <c r="M247" s="14"/>
      <c r="N247" s="15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9">
        <v>246.0</v>
      </c>
      <c r="B248" s="10">
        <v>44084.0</v>
      </c>
      <c r="C248" s="9" t="s">
        <v>309</v>
      </c>
      <c r="D248" s="11" t="s">
        <v>580</v>
      </c>
      <c r="E248" s="9">
        <v>9.71055236575E12</v>
      </c>
      <c r="F248" s="12" t="s">
        <v>581</v>
      </c>
      <c r="G248" s="9" t="s">
        <v>187</v>
      </c>
      <c r="H248" s="9" t="s">
        <v>13</v>
      </c>
      <c r="I248" s="13"/>
      <c r="J248" s="13"/>
      <c r="K248" s="14"/>
      <c r="L248" s="13"/>
      <c r="M248" s="14"/>
      <c r="N248" s="15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9">
        <v>247.0</v>
      </c>
      <c r="B249" s="10">
        <v>44084.0</v>
      </c>
      <c r="C249" s="9" t="s">
        <v>309</v>
      </c>
      <c r="D249" s="11" t="s">
        <v>84</v>
      </c>
      <c r="E249" s="9">
        <v>2.00109714906E12</v>
      </c>
      <c r="F249" s="12" t="s">
        <v>582</v>
      </c>
      <c r="G249" s="9" t="s">
        <v>57</v>
      </c>
      <c r="H249" s="9" t="s">
        <v>337</v>
      </c>
      <c r="I249" s="13"/>
      <c r="J249" s="13"/>
      <c r="K249" s="14"/>
      <c r="L249" s="13"/>
      <c r="M249" s="14"/>
      <c r="N249" s="15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9">
        <v>248.0</v>
      </c>
      <c r="B250" s="10">
        <v>44084.0</v>
      </c>
      <c r="C250" s="9" t="s">
        <v>393</v>
      </c>
      <c r="D250" s="11" t="s">
        <v>583</v>
      </c>
      <c r="E250" s="9">
        <v>9.710555677475E12</v>
      </c>
      <c r="F250" s="12" t="s">
        <v>584</v>
      </c>
      <c r="G250" s="9" t="s">
        <v>176</v>
      </c>
      <c r="H250" s="9" t="s">
        <v>206</v>
      </c>
      <c r="I250" s="13"/>
      <c r="J250" s="13"/>
      <c r="K250" s="14"/>
      <c r="L250" s="13"/>
      <c r="M250" s="14"/>
      <c r="N250" s="15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9">
        <v>249.0</v>
      </c>
      <c r="B251" s="10">
        <v>44084.0</v>
      </c>
      <c r="C251" s="9" t="s">
        <v>309</v>
      </c>
      <c r="D251" s="11" t="s">
        <v>585</v>
      </c>
      <c r="E251" s="9">
        <v>9.71553262781E11</v>
      </c>
      <c r="F251" s="12" t="s">
        <v>586</v>
      </c>
      <c r="G251" s="9" t="s">
        <v>134</v>
      </c>
      <c r="H251" s="9" t="s">
        <v>17</v>
      </c>
      <c r="I251" s="13"/>
      <c r="J251" s="13"/>
      <c r="K251" s="14"/>
      <c r="L251" s="13"/>
      <c r="M251" s="14"/>
      <c r="N251" s="15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9">
        <v>250.0</v>
      </c>
      <c r="B252" s="10">
        <v>44084.0</v>
      </c>
      <c r="C252" s="9" t="s">
        <v>393</v>
      </c>
      <c r="D252" s="11" t="s">
        <v>587</v>
      </c>
      <c r="E252" s="9">
        <v>9.710566553869E12</v>
      </c>
      <c r="F252" s="12" t="s">
        <v>588</v>
      </c>
      <c r="G252" s="9" t="s">
        <v>181</v>
      </c>
      <c r="H252" s="9" t="s">
        <v>17</v>
      </c>
      <c r="I252" s="13"/>
      <c r="J252" s="13"/>
      <c r="K252" s="14"/>
      <c r="L252" s="13"/>
      <c r="M252" s="14"/>
      <c r="N252" s="15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9">
        <v>251.0</v>
      </c>
      <c r="B253" s="10">
        <v>44084.0</v>
      </c>
      <c r="C253" s="9" t="s">
        <v>309</v>
      </c>
      <c r="D253" s="11" t="s">
        <v>589</v>
      </c>
      <c r="E253" s="9">
        <v>9.71567033154E11</v>
      </c>
      <c r="F253" s="12" t="s">
        <v>590</v>
      </c>
      <c r="G253" s="9" t="s">
        <v>12</v>
      </c>
      <c r="H253" s="9" t="s">
        <v>13</v>
      </c>
      <c r="I253" s="13"/>
      <c r="J253" s="13"/>
      <c r="K253" s="14"/>
      <c r="L253" s="13"/>
      <c r="M253" s="14"/>
      <c r="N253" s="15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9">
        <v>252.0</v>
      </c>
      <c r="B254" s="10">
        <v>44083.0</v>
      </c>
      <c r="C254" s="9" t="s">
        <v>393</v>
      </c>
      <c r="D254" s="11" t="s">
        <v>591</v>
      </c>
      <c r="E254" s="9">
        <v>9.710509803943E12</v>
      </c>
      <c r="F254" s="12" t="s">
        <v>592</v>
      </c>
      <c r="G254" s="9" t="s">
        <v>80</v>
      </c>
      <c r="H254" s="9" t="s">
        <v>41</v>
      </c>
      <c r="I254" s="13"/>
      <c r="J254" s="13"/>
      <c r="K254" s="14"/>
      <c r="L254" s="13"/>
      <c r="M254" s="14"/>
      <c r="N254" s="15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9">
        <v>253.0</v>
      </c>
      <c r="B255" s="10">
        <v>44083.0</v>
      </c>
      <c r="C255" s="9" t="s">
        <v>309</v>
      </c>
      <c r="D255" s="11" t="s">
        <v>593</v>
      </c>
      <c r="E255" s="9">
        <v>2.01022838772E11</v>
      </c>
      <c r="F255" s="12" t="s">
        <v>594</v>
      </c>
      <c r="G255" s="9" t="s">
        <v>57</v>
      </c>
      <c r="H255" s="9" t="s">
        <v>41</v>
      </c>
      <c r="I255" s="13"/>
      <c r="J255" s="13"/>
      <c r="K255" s="14"/>
      <c r="L255" s="13"/>
      <c r="M255" s="14"/>
      <c r="N255" s="15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9">
        <v>254.0</v>
      </c>
      <c r="B256" s="10">
        <v>44083.0</v>
      </c>
      <c r="C256" s="9" t="s">
        <v>309</v>
      </c>
      <c r="D256" s="11" t="s">
        <v>595</v>
      </c>
      <c r="E256" s="9">
        <v>9.66556850003E11</v>
      </c>
      <c r="F256" s="12" t="s">
        <v>596</v>
      </c>
      <c r="G256" s="9" t="s">
        <v>184</v>
      </c>
      <c r="H256" s="9" t="s">
        <v>13</v>
      </c>
      <c r="I256" s="13"/>
      <c r="J256" s="13"/>
      <c r="K256" s="14"/>
      <c r="L256" s="13"/>
      <c r="M256" s="14"/>
      <c r="N256" s="15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9">
        <v>255.0</v>
      </c>
      <c r="B257" s="10">
        <v>44083.0</v>
      </c>
      <c r="C257" s="9" t="s">
        <v>309</v>
      </c>
      <c r="D257" s="11" t="s">
        <v>597</v>
      </c>
      <c r="E257" s="9">
        <v>9.6600966483413E14</v>
      </c>
      <c r="F257" s="12" t="s">
        <v>598</v>
      </c>
      <c r="G257" s="9" t="s">
        <v>184</v>
      </c>
      <c r="H257" s="9" t="s">
        <v>13</v>
      </c>
      <c r="I257" s="13"/>
      <c r="J257" s="13"/>
      <c r="K257" s="14"/>
      <c r="L257" s="13"/>
      <c r="M257" s="14"/>
      <c r="N257" s="15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9">
        <v>256.0</v>
      </c>
      <c r="B258" s="10">
        <v>44083.0</v>
      </c>
      <c r="C258" s="9" t="s">
        <v>393</v>
      </c>
      <c r="D258" s="11" t="s">
        <v>599</v>
      </c>
      <c r="E258" s="9">
        <v>9.71502258633E11</v>
      </c>
      <c r="F258" s="12" t="s">
        <v>600</v>
      </c>
      <c r="G258" s="9" t="s">
        <v>525</v>
      </c>
      <c r="H258" s="9" t="s">
        <v>13</v>
      </c>
      <c r="I258" s="13"/>
      <c r="J258" s="13"/>
      <c r="K258" s="14"/>
      <c r="L258" s="13"/>
      <c r="M258" s="14"/>
      <c r="N258" s="15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9">
        <v>257.0</v>
      </c>
      <c r="B259" s="10">
        <v>44083.0</v>
      </c>
      <c r="C259" s="9" t="s">
        <v>473</v>
      </c>
      <c r="D259" s="11" t="s">
        <v>601</v>
      </c>
      <c r="E259" s="9">
        <v>9.7155633899E11</v>
      </c>
      <c r="F259" s="12" t="s">
        <v>602</v>
      </c>
      <c r="G259" s="9" t="s">
        <v>525</v>
      </c>
      <c r="H259" s="9" t="s">
        <v>13</v>
      </c>
      <c r="I259" s="13"/>
      <c r="J259" s="13"/>
      <c r="K259" s="14"/>
      <c r="L259" s="13"/>
      <c r="M259" s="14"/>
      <c r="N259" s="15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9">
        <v>258.0</v>
      </c>
      <c r="B260" s="10">
        <v>44083.0</v>
      </c>
      <c r="C260" s="9" t="s">
        <v>309</v>
      </c>
      <c r="D260" s="11" t="s">
        <v>603</v>
      </c>
      <c r="E260" s="9">
        <v>9.710502774669E12</v>
      </c>
      <c r="F260" s="12" t="s">
        <v>604</v>
      </c>
      <c r="G260" s="9" t="s">
        <v>300</v>
      </c>
      <c r="H260" s="9" t="s">
        <v>73</v>
      </c>
      <c r="I260" s="13"/>
      <c r="J260" s="13"/>
      <c r="K260" s="14"/>
      <c r="L260" s="13"/>
      <c r="M260" s="14"/>
      <c r="N260" s="15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9">
        <v>259.0</v>
      </c>
      <c r="B261" s="10">
        <v>44083.0</v>
      </c>
      <c r="C261" s="9" t="s">
        <v>309</v>
      </c>
      <c r="D261" s="11" t="s">
        <v>605</v>
      </c>
      <c r="E261" s="9">
        <v>9.71055700983E12</v>
      </c>
      <c r="F261" s="12" t="s">
        <v>606</v>
      </c>
      <c r="G261" s="9" t="s">
        <v>300</v>
      </c>
      <c r="H261" s="9" t="s">
        <v>17</v>
      </c>
      <c r="I261" s="13"/>
      <c r="J261" s="13"/>
      <c r="K261" s="14"/>
      <c r="L261" s="13"/>
      <c r="M261" s="14"/>
      <c r="N261" s="15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9">
        <v>260.0</v>
      </c>
      <c r="B262" s="10">
        <v>44083.0</v>
      </c>
      <c r="C262" s="9" t="s">
        <v>309</v>
      </c>
      <c r="D262" s="11" t="s">
        <v>607</v>
      </c>
      <c r="E262" s="9">
        <v>9.71505005767E11</v>
      </c>
      <c r="F262" s="12" t="s">
        <v>608</v>
      </c>
      <c r="G262" s="9" t="s">
        <v>12</v>
      </c>
      <c r="H262" s="9" t="s">
        <v>13</v>
      </c>
      <c r="I262" s="13"/>
      <c r="J262" s="13"/>
      <c r="K262" s="14"/>
      <c r="L262" s="13"/>
      <c r="M262" s="14"/>
      <c r="N262" s="15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9">
        <v>261.0</v>
      </c>
      <c r="B263" s="10">
        <v>44083.0</v>
      </c>
      <c r="C263" s="9" t="s">
        <v>309</v>
      </c>
      <c r="D263" s="11" t="s">
        <v>609</v>
      </c>
      <c r="E263" s="9">
        <v>9.710501015468E12</v>
      </c>
      <c r="F263" s="12" t="s">
        <v>610</v>
      </c>
      <c r="G263" s="9" t="s">
        <v>300</v>
      </c>
      <c r="H263" s="9" t="s">
        <v>260</v>
      </c>
      <c r="I263" s="13"/>
      <c r="J263" s="13"/>
      <c r="K263" s="14"/>
      <c r="L263" s="13"/>
      <c r="M263" s="14"/>
      <c r="N263" s="15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9">
        <v>262.0</v>
      </c>
      <c r="B264" s="10">
        <v>44083.0</v>
      </c>
      <c r="C264" s="9" t="s">
        <v>309</v>
      </c>
      <c r="D264" s="11" t="s">
        <v>345</v>
      </c>
      <c r="E264" s="9">
        <v>9.710506668619E12</v>
      </c>
      <c r="F264" s="12" t="s">
        <v>611</v>
      </c>
      <c r="G264" s="9" t="s">
        <v>181</v>
      </c>
      <c r="H264" s="9" t="s">
        <v>17</v>
      </c>
      <c r="I264" s="13"/>
      <c r="J264" s="13"/>
      <c r="K264" s="14"/>
      <c r="L264" s="13"/>
      <c r="M264" s="14"/>
      <c r="N264" s="15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9">
        <v>263.0</v>
      </c>
      <c r="B265" s="10">
        <v>44083.0</v>
      </c>
      <c r="C265" s="9" t="s">
        <v>309</v>
      </c>
      <c r="D265" s="11" t="s">
        <v>612</v>
      </c>
      <c r="E265" s="9">
        <v>9.203218236426E12</v>
      </c>
      <c r="F265" s="12" t="s">
        <v>613</v>
      </c>
      <c r="G265" s="9" t="s">
        <v>52</v>
      </c>
      <c r="H265" s="9" t="s">
        <v>17</v>
      </c>
      <c r="I265" s="13"/>
      <c r="J265" s="13"/>
      <c r="K265" s="14"/>
      <c r="L265" s="13"/>
      <c r="M265" s="14"/>
      <c r="N265" s="15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9">
        <v>264.0</v>
      </c>
      <c r="B266" s="10">
        <v>44083.0</v>
      </c>
      <c r="C266" s="9" t="s">
        <v>309</v>
      </c>
      <c r="D266" s="11" t="s">
        <v>614</v>
      </c>
      <c r="E266" s="9">
        <v>9.7105055351E12</v>
      </c>
      <c r="F266" s="12" t="s">
        <v>615</v>
      </c>
      <c r="G266" s="9" t="s">
        <v>432</v>
      </c>
      <c r="H266" s="9" t="s">
        <v>73</v>
      </c>
      <c r="I266" s="13"/>
      <c r="J266" s="13"/>
      <c r="K266" s="14"/>
      <c r="L266" s="13"/>
      <c r="M266" s="14"/>
      <c r="N266" s="15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9">
        <v>265.0</v>
      </c>
      <c r="B267" s="10">
        <v>44083.0</v>
      </c>
      <c r="C267" s="9" t="s">
        <v>309</v>
      </c>
      <c r="D267" s="11" t="s">
        <v>616</v>
      </c>
      <c r="E267" s="9">
        <v>9.710582980071E12</v>
      </c>
      <c r="F267" s="12" t="s">
        <v>617</v>
      </c>
      <c r="G267" s="9" t="s">
        <v>432</v>
      </c>
      <c r="H267" s="9" t="s">
        <v>260</v>
      </c>
      <c r="I267" s="13"/>
      <c r="J267" s="13"/>
      <c r="K267" s="14"/>
      <c r="L267" s="13"/>
      <c r="M267" s="14"/>
      <c r="N267" s="15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9">
        <v>266.0</v>
      </c>
      <c r="B268" s="10">
        <v>44083.0</v>
      </c>
      <c r="C268" s="9" t="s">
        <v>309</v>
      </c>
      <c r="D268" s="11" t="s">
        <v>84</v>
      </c>
      <c r="E268" s="9">
        <v>9.71553330329E11</v>
      </c>
      <c r="F268" s="12" t="s">
        <v>618</v>
      </c>
      <c r="G268" s="9" t="s">
        <v>249</v>
      </c>
      <c r="H268" s="9" t="s">
        <v>17</v>
      </c>
      <c r="I268" s="13"/>
      <c r="J268" s="13"/>
      <c r="K268" s="14"/>
      <c r="L268" s="13"/>
      <c r="M268" s="14"/>
      <c r="N268" s="15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9">
        <v>267.0</v>
      </c>
      <c r="B269" s="10">
        <v>44083.0</v>
      </c>
      <c r="C269" s="9" t="s">
        <v>309</v>
      </c>
      <c r="D269" s="11" t="s">
        <v>619</v>
      </c>
      <c r="E269" s="9">
        <v>9.710526072245E12</v>
      </c>
      <c r="F269" s="12" t="s">
        <v>620</v>
      </c>
      <c r="G269" s="9" t="s">
        <v>181</v>
      </c>
      <c r="H269" s="9" t="s">
        <v>17</v>
      </c>
      <c r="I269" s="13"/>
      <c r="J269" s="13"/>
      <c r="K269" s="14"/>
      <c r="L269" s="13"/>
      <c r="M269" s="14"/>
      <c r="N269" s="15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9">
        <v>268.0</v>
      </c>
      <c r="B270" s="10">
        <v>44083.0</v>
      </c>
      <c r="C270" s="9" t="s">
        <v>309</v>
      </c>
      <c r="D270" s="11" t="s">
        <v>621</v>
      </c>
      <c r="E270" s="9">
        <v>9.2300555111E11</v>
      </c>
      <c r="F270" s="12" t="s">
        <v>622</v>
      </c>
      <c r="G270" s="9" t="s">
        <v>181</v>
      </c>
      <c r="H270" s="9" t="s">
        <v>17</v>
      </c>
      <c r="I270" s="13"/>
      <c r="J270" s="13"/>
      <c r="K270" s="14"/>
      <c r="L270" s="13"/>
      <c r="M270" s="14"/>
      <c r="N270" s="15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9">
        <v>269.0</v>
      </c>
      <c r="B271" s="10">
        <v>44083.0</v>
      </c>
      <c r="C271" s="9" t="s">
        <v>309</v>
      </c>
      <c r="D271" s="16" t="s">
        <v>623</v>
      </c>
      <c r="E271" s="9">
        <v>9.710507676627E12</v>
      </c>
      <c r="F271" s="12" t="s">
        <v>624</v>
      </c>
      <c r="G271" s="9" t="s">
        <v>57</v>
      </c>
      <c r="H271" s="9" t="s">
        <v>17</v>
      </c>
      <c r="I271" s="13"/>
      <c r="J271" s="13"/>
      <c r="K271" s="14"/>
      <c r="L271" s="13"/>
      <c r="M271" s="22"/>
      <c r="N271" s="15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9">
        <v>270.0</v>
      </c>
      <c r="B272" s="10">
        <v>44083.0</v>
      </c>
      <c r="C272" s="9" t="s">
        <v>309</v>
      </c>
      <c r="D272" s="11" t="s">
        <v>625</v>
      </c>
      <c r="E272" s="9">
        <v>9.710506414512E12</v>
      </c>
      <c r="F272" s="12" t="s">
        <v>626</v>
      </c>
      <c r="G272" s="9" t="s">
        <v>627</v>
      </c>
      <c r="H272" s="9" t="s">
        <v>13</v>
      </c>
      <c r="I272" s="13"/>
      <c r="J272" s="13"/>
      <c r="K272" s="14"/>
      <c r="L272" s="13"/>
      <c r="M272" s="14"/>
      <c r="N272" s="15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9">
        <v>271.0</v>
      </c>
      <c r="B273" s="10">
        <v>44083.0</v>
      </c>
      <c r="C273" s="9" t="s">
        <v>309</v>
      </c>
      <c r="D273" s="11" t="s">
        <v>628</v>
      </c>
      <c r="E273" s="9">
        <v>9.710555897692E12</v>
      </c>
      <c r="F273" s="12" t="s">
        <v>629</v>
      </c>
      <c r="G273" s="9" t="s">
        <v>52</v>
      </c>
      <c r="H273" s="9" t="s">
        <v>17</v>
      </c>
      <c r="I273" s="13"/>
      <c r="J273" s="13"/>
      <c r="K273" s="14"/>
      <c r="L273" s="13"/>
      <c r="M273" s="14"/>
      <c r="N273" s="15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9">
        <v>272.0</v>
      </c>
      <c r="B274" s="10">
        <v>44083.0</v>
      </c>
      <c r="C274" s="9" t="s">
        <v>309</v>
      </c>
      <c r="D274" s="11" t="s">
        <v>630</v>
      </c>
      <c r="E274" s="9">
        <v>9.62795068297E11</v>
      </c>
      <c r="F274" s="12" t="s">
        <v>631</v>
      </c>
      <c r="G274" s="9" t="s">
        <v>364</v>
      </c>
      <c r="H274" s="9" t="s">
        <v>41</v>
      </c>
      <c r="I274" s="13"/>
      <c r="J274" s="13"/>
      <c r="K274" s="14"/>
      <c r="L274" s="13"/>
      <c r="M274" s="14"/>
      <c r="N274" s="15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9">
        <v>273.0</v>
      </c>
      <c r="B275" s="10">
        <v>44083.0</v>
      </c>
      <c r="C275" s="9" t="s">
        <v>309</v>
      </c>
      <c r="D275" s="11" t="s">
        <v>632</v>
      </c>
      <c r="E275" s="9">
        <v>9.710503466399E12</v>
      </c>
      <c r="F275" s="12" t="s">
        <v>633</v>
      </c>
      <c r="G275" s="9" t="s">
        <v>627</v>
      </c>
      <c r="H275" s="9" t="s">
        <v>13</v>
      </c>
      <c r="I275" s="13"/>
      <c r="J275" s="13"/>
      <c r="K275" s="14"/>
      <c r="L275" s="13"/>
      <c r="M275" s="14"/>
      <c r="N275" s="15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9">
        <v>274.0</v>
      </c>
      <c r="B276" s="10">
        <v>44083.0</v>
      </c>
      <c r="C276" s="9" t="s">
        <v>473</v>
      </c>
      <c r="D276" s="11" t="s">
        <v>634</v>
      </c>
      <c r="E276" s="9">
        <v>9.710568888183E12</v>
      </c>
      <c r="F276" s="12" t="s">
        <v>635</v>
      </c>
      <c r="G276" s="9" t="s">
        <v>20</v>
      </c>
      <c r="H276" s="9" t="s">
        <v>13</v>
      </c>
      <c r="I276" s="13"/>
      <c r="J276" s="13"/>
      <c r="K276" s="14"/>
      <c r="L276" s="13"/>
      <c r="M276" s="14"/>
      <c r="N276" s="15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9">
        <v>275.0</v>
      </c>
      <c r="B277" s="10">
        <v>44083.0</v>
      </c>
      <c r="C277" s="9" t="s">
        <v>309</v>
      </c>
      <c r="D277" s="11" t="s">
        <v>636</v>
      </c>
      <c r="E277" s="9">
        <v>4.407576045178E12</v>
      </c>
      <c r="F277" s="12" t="s">
        <v>637</v>
      </c>
      <c r="G277" s="9" t="s">
        <v>187</v>
      </c>
      <c r="H277" s="9" t="s">
        <v>41</v>
      </c>
      <c r="I277" s="13"/>
      <c r="J277" s="13"/>
      <c r="K277" s="14"/>
      <c r="L277" s="13"/>
      <c r="M277" s="14"/>
      <c r="N277" s="15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9">
        <v>276.0</v>
      </c>
      <c r="B278" s="10">
        <v>44083.0</v>
      </c>
      <c r="C278" s="9" t="s">
        <v>309</v>
      </c>
      <c r="D278" s="11" t="s">
        <v>638</v>
      </c>
      <c r="E278" s="9">
        <v>9.71503467375E11</v>
      </c>
      <c r="F278" s="12" t="s">
        <v>639</v>
      </c>
      <c r="G278" s="9" t="s">
        <v>60</v>
      </c>
      <c r="H278" s="9" t="s">
        <v>13</v>
      </c>
      <c r="I278" s="13"/>
      <c r="J278" s="13"/>
      <c r="K278" s="14"/>
      <c r="L278" s="13"/>
      <c r="M278" s="14"/>
      <c r="N278" s="15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9">
        <v>277.0</v>
      </c>
      <c r="B279" s="10">
        <v>44083.0</v>
      </c>
      <c r="C279" s="9" t="s">
        <v>309</v>
      </c>
      <c r="D279" s="11" t="s">
        <v>640</v>
      </c>
      <c r="E279" s="9">
        <v>9.71050647844E12</v>
      </c>
      <c r="F279" s="12" t="s">
        <v>641</v>
      </c>
      <c r="G279" s="9" t="s">
        <v>52</v>
      </c>
      <c r="H279" s="9" t="s">
        <v>21</v>
      </c>
      <c r="I279" s="13"/>
      <c r="J279" s="13"/>
      <c r="K279" s="14"/>
      <c r="L279" s="13"/>
      <c r="M279" s="14"/>
      <c r="N279" s="15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9">
        <v>278.0</v>
      </c>
      <c r="B280" s="10">
        <v>44083.0</v>
      </c>
      <c r="C280" s="9" t="s">
        <v>473</v>
      </c>
      <c r="D280" s="16" t="s">
        <v>642</v>
      </c>
      <c r="E280" s="9">
        <v>9.710503355189E12</v>
      </c>
      <c r="F280" s="12" t="s">
        <v>643</v>
      </c>
      <c r="G280" s="9" t="s">
        <v>25</v>
      </c>
      <c r="H280" s="9" t="s">
        <v>13</v>
      </c>
      <c r="I280" s="13"/>
      <c r="J280" s="13"/>
      <c r="K280" s="14"/>
      <c r="L280" s="13"/>
      <c r="M280" s="22"/>
      <c r="N280" s="15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9">
        <v>279.0</v>
      </c>
      <c r="B281" s="10">
        <v>44083.0</v>
      </c>
      <c r="C281" s="9" t="s">
        <v>393</v>
      </c>
      <c r="D281" s="11" t="s">
        <v>644</v>
      </c>
      <c r="E281" s="9">
        <v>9.710527977272E12</v>
      </c>
      <c r="F281" s="12" t="s">
        <v>645</v>
      </c>
      <c r="G281" s="9" t="s">
        <v>176</v>
      </c>
      <c r="H281" s="9" t="s">
        <v>206</v>
      </c>
      <c r="I281" s="13"/>
      <c r="J281" s="13"/>
      <c r="K281" s="14"/>
      <c r="L281" s="13"/>
      <c r="M281" s="14"/>
      <c r="N281" s="15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9">
        <v>280.0</v>
      </c>
      <c r="B282" s="10">
        <v>44083.0</v>
      </c>
      <c r="C282" s="9" t="s">
        <v>393</v>
      </c>
      <c r="D282" s="11" t="s">
        <v>646</v>
      </c>
      <c r="E282" s="9">
        <v>9.710505904959E12</v>
      </c>
      <c r="F282" s="12" t="s">
        <v>647</v>
      </c>
      <c r="G282" s="9" t="s">
        <v>80</v>
      </c>
      <c r="H282" s="9" t="s">
        <v>21</v>
      </c>
      <c r="I282" s="13"/>
      <c r="J282" s="13"/>
      <c r="K282" s="14"/>
      <c r="L282" s="13"/>
      <c r="M282" s="14"/>
      <c r="N282" s="15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9">
        <v>281.0</v>
      </c>
      <c r="B283" s="10">
        <v>44083.0</v>
      </c>
      <c r="C283" s="9" t="s">
        <v>473</v>
      </c>
      <c r="D283" s="11" t="s">
        <v>648</v>
      </c>
      <c r="E283" s="9">
        <v>9.710565340019E12</v>
      </c>
      <c r="F283" s="12" t="s">
        <v>649</v>
      </c>
      <c r="G283" s="9" t="s">
        <v>35</v>
      </c>
      <c r="H283" s="9" t="s">
        <v>206</v>
      </c>
      <c r="I283" s="13"/>
      <c r="J283" s="13"/>
      <c r="K283" s="14"/>
      <c r="L283" s="13"/>
      <c r="M283" s="14"/>
      <c r="N283" s="15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9">
        <v>282.0</v>
      </c>
      <c r="B284" s="10">
        <v>44083.0</v>
      </c>
      <c r="C284" s="9" t="s">
        <v>309</v>
      </c>
      <c r="D284" s="11" t="s">
        <v>650</v>
      </c>
      <c r="E284" s="9">
        <v>9.718790952111E12</v>
      </c>
      <c r="F284" s="12" t="s">
        <v>651</v>
      </c>
      <c r="G284" s="9" t="s">
        <v>60</v>
      </c>
      <c r="H284" s="9" t="s">
        <v>13</v>
      </c>
      <c r="I284" s="13"/>
      <c r="J284" s="13"/>
      <c r="K284" s="14"/>
      <c r="L284" s="13"/>
      <c r="M284" s="14"/>
      <c r="N284" s="15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9">
        <v>283.0</v>
      </c>
      <c r="B285" s="10">
        <v>44083.0</v>
      </c>
      <c r="C285" s="9" t="s">
        <v>473</v>
      </c>
      <c r="D285" s="11" t="s">
        <v>652</v>
      </c>
      <c r="E285" s="9">
        <v>9.710501144431E12</v>
      </c>
      <c r="F285" s="12" t="s">
        <v>653</v>
      </c>
      <c r="G285" s="9" t="s">
        <v>16</v>
      </c>
      <c r="H285" s="9" t="s">
        <v>654</v>
      </c>
      <c r="I285" s="13"/>
      <c r="J285" s="13"/>
      <c r="K285" s="14"/>
      <c r="L285" s="13"/>
      <c r="M285" s="14"/>
      <c r="N285" s="15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9">
        <v>284.0</v>
      </c>
      <c r="B286" s="10">
        <v>44082.0</v>
      </c>
      <c r="C286" s="9" t="s">
        <v>309</v>
      </c>
      <c r="D286" s="11" t="s">
        <v>655</v>
      </c>
      <c r="E286" s="9">
        <v>9.7150144449E11</v>
      </c>
      <c r="F286" s="12" t="s">
        <v>656</v>
      </c>
      <c r="G286" s="9" t="s">
        <v>190</v>
      </c>
      <c r="H286" s="9" t="s">
        <v>13</v>
      </c>
      <c r="I286" s="13"/>
      <c r="J286" s="13"/>
      <c r="K286" s="14"/>
      <c r="L286" s="13"/>
      <c r="M286" s="14"/>
      <c r="N286" s="15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9">
        <v>285.0</v>
      </c>
      <c r="B287" s="10">
        <v>44082.0</v>
      </c>
      <c r="C287" s="9" t="s">
        <v>309</v>
      </c>
      <c r="D287" s="11" t="s">
        <v>657</v>
      </c>
      <c r="E287" s="9">
        <v>9.710526588615E12</v>
      </c>
      <c r="F287" s="12" t="s">
        <v>658</v>
      </c>
      <c r="G287" s="9" t="s">
        <v>364</v>
      </c>
      <c r="H287" s="9" t="s">
        <v>17</v>
      </c>
      <c r="I287" s="13"/>
      <c r="J287" s="13"/>
      <c r="K287" s="14"/>
      <c r="L287" s="13"/>
      <c r="M287" s="14"/>
      <c r="N287" s="15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9">
        <v>286.0</v>
      </c>
      <c r="B288" s="10">
        <v>44082.0</v>
      </c>
      <c r="C288" s="9" t="s">
        <v>393</v>
      </c>
      <c r="D288" s="11" t="s">
        <v>659</v>
      </c>
      <c r="E288" s="9">
        <v>9.710506545115E12</v>
      </c>
      <c r="F288" s="12" t="s">
        <v>660</v>
      </c>
      <c r="G288" s="9" t="s">
        <v>20</v>
      </c>
      <c r="H288" s="9" t="s">
        <v>13</v>
      </c>
      <c r="I288" s="13"/>
      <c r="J288" s="13"/>
      <c r="K288" s="14"/>
      <c r="L288" s="13"/>
      <c r="M288" s="14"/>
      <c r="N288" s="15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9">
        <v>287.0</v>
      </c>
      <c r="B289" s="10">
        <v>44082.0</v>
      </c>
      <c r="C289" s="9" t="s">
        <v>309</v>
      </c>
      <c r="D289" s="11" t="s">
        <v>661</v>
      </c>
      <c r="E289" s="9">
        <v>4.40795636838E12</v>
      </c>
      <c r="F289" s="12" t="s">
        <v>662</v>
      </c>
      <c r="G289" s="9" t="s">
        <v>52</v>
      </c>
      <c r="H289" s="9" t="s">
        <v>17</v>
      </c>
      <c r="I289" s="13"/>
      <c r="J289" s="13"/>
      <c r="K289" s="14"/>
      <c r="L289" s="13"/>
      <c r="M289" s="14"/>
      <c r="N289" s="15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9">
        <v>288.0</v>
      </c>
      <c r="B290" s="10">
        <v>44082.0</v>
      </c>
      <c r="C290" s="9" t="s">
        <v>309</v>
      </c>
      <c r="D290" s="11" t="s">
        <v>663</v>
      </c>
      <c r="E290" s="9">
        <v>9.660503267556E12</v>
      </c>
      <c r="F290" s="12" t="s">
        <v>664</v>
      </c>
      <c r="G290" s="9" t="s">
        <v>184</v>
      </c>
      <c r="H290" s="9" t="s">
        <v>13</v>
      </c>
      <c r="I290" s="13"/>
      <c r="J290" s="13"/>
      <c r="K290" s="14"/>
      <c r="L290" s="13"/>
      <c r="M290" s="14"/>
      <c r="N290" s="15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9">
        <v>289.0</v>
      </c>
      <c r="B291" s="10">
        <v>44082.0</v>
      </c>
      <c r="C291" s="9" t="s">
        <v>309</v>
      </c>
      <c r="D291" s="11" t="s">
        <v>665</v>
      </c>
      <c r="E291" s="9">
        <v>1.8582478549E10</v>
      </c>
      <c r="F291" s="12" t="s">
        <v>666</v>
      </c>
      <c r="G291" s="9" t="s">
        <v>190</v>
      </c>
      <c r="H291" s="9" t="s">
        <v>13</v>
      </c>
      <c r="I291" s="13"/>
      <c r="J291" s="13"/>
      <c r="K291" s="14"/>
      <c r="L291" s="13"/>
      <c r="M291" s="14"/>
      <c r="N291" s="15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9">
        <v>290.0</v>
      </c>
      <c r="B292" s="10">
        <v>44082.0</v>
      </c>
      <c r="C292" s="9" t="s">
        <v>309</v>
      </c>
      <c r="D292" s="11" t="s">
        <v>667</v>
      </c>
      <c r="E292" s="9">
        <v>4.407789203377E12</v>
      </c>
      <c r="F292" s="12" t="s">
        <v>668</v>
      </c>
      <c r="G292" s="9" t="s">
        <v>364</v>
      </c>
      <c r="H292" s="9" t="s">
        <v>17</v>
      </c>
      <c r="I292" s="13"/>
      <c r="J292" s="13"/>
      <c r="K292" s="14"/>
      <c r="L292" s="13"/>
      <c r="M292" s="14"/>
      <c r="N292" s="15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9">
        <v>291.0</v>
      </c>
      <c r="B293" s="10">
        <v>44082.0</v>
      </c>
      <c r="C293" s="9" t="s">
        <v>309</v>
      </c>
      <c r="D293" s="16" t="s">
        <v>669</v>
      </c>
      <c r="E293" s="9">
        <v>9.71506298188E11</v>
      </c>
      <c r="F293" s="12" t="s">
        <v>670</v>
      </c>
      <c r="G293" s="9" t="s">
        <v>57</v>
      </c>
      <c r="H293" s="9" t="s">
        <v>17</v>
      </c>
      <c r="I293" s="13"/>
      <c r="J293" s="13"/>
      <c r="K293" s="14"/>
      <c r="L293" s="13"/>
      <c r="M293" s="22"/>
      <c r="N293" s="15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9">
        <v>292.0</v>
      </c>
      <c r="B294" s="10">
        <v>44082.0</v>
      </c>
      <c r="C294" s="9" t="s">
        <v>309</v>
      </c>
      <c r="D294" s="11" t="s">
        <v>671</v>
      </c>
      <c r="E294" s="9">
        <v>9.710503791405E12</v>
      </c>
      <c r="F294" s="12" t="s">
        <v>672</v>
      </c>
      <c r="G294" s="9" t="s">
        <v>52</v>
      </c>
      <c r="H294" s="9" t="s">
        <v>206</v>
      </c>
      <c r="I294" s="13"/>
      <c r="J294" s="13"/>
      <c r="K294" s="14"/>
      <c r="L294" s="13"/>
      <c r="M294" s="14"/>
      <c r="N294" s="15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9">
        <v>293.0</v>
      </c>
      <c r="B295" s="10">
        <v>44082.0</v>
      </c>
      <c r="C295" s="9" t="s">
        <v>309</v>
      </c>
      <c r="D295" s="11" t="s">
        <v>673</v>
      </c>
      <c r="E295" s="9">
        <v>9.7156339366E10</v>
      </c>
      <c r="F295" s="12" t="s">
        <v>674</v>
      </c>
      <c r="G295" s="9" t="s">
        <v>300</v>
      </c>
      <c r="H295" s="9" t="s">
        <v>41</v>
      </c>
      <c r="I295" s="13"/>
      <c r="J295" s="13"/>
      <c r="K295" s="14"/>
      <c r="L295" s="13"/>
      <c r="M295" s="14"/>
      <c r="N295" s="15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9">
        <v>294.0</v>
      </c>
      <c r="B296" s="10">
        <v>44082.0</v>
      </c>
      <c r="C296" s="9" t="s">
        <v>309</v>
      </c>
      <c r="D296" s="11" t="s">
        <v>675</v>
      </c>
      <c r="E296" s="9">
        <v>9.710506946708E12</v>
      </c>
      <c r="F296" s="12" t="s">
        <v>676</v>
      </c>
      <c r="G296" s="9" t="s">
        <v>300</v>
      </c>
      <c r="H296" s="9" t="s">
        <v>41</v>
      </c>
      <c r="I296" s="13"/>
      <c r="J296" s="13"/>
      <c r="K296" s="14"/>
      <c r="L296" s="13"/>
      <c r="M296" s="14"/>
      <c r="N296" s="15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9">
        <v>295.0</v>
      </c>
      <c r="B297" s="10">
        <v>44082.0</v>
      </c>
      <c r="C297" s="9" t="s">
        <v>473</v>
      </c>
      <c r="D297" s="16" t="s">
        <v>677</v>
      </c>
      <c r="E297" s="9">
        <v>9.71566555122E11</v>
      </c>
      <c r="F297" s="12" t="s">
        <v>678</v>
      </c>
      <c r="G297" s="9" t="s">
        <v>57</v>
      </c>
      <c r="H297" s="9" t="s">
        <v>17</v>
      </c>
      <c r="I297" s="13"/>
      <c r="J297" s="13"/>
      <c r="K297" s="14"/>
      <c r="L297" s="13"/>
      <c r="M297" s="22"/>
      <c r="N297" s="15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9">
        <v>296.0</v>
      </c>
      <c r="B298" s="10">
        <v>44082.0</v>
      </c>
      <c r="C298" s="9" t="s">
        <v>309</v>
      </c>
      <c r="D298" s="11" t="s">
        <v>679</v>
      </c>
      <c r="E298" s="9">
        <v>9.71551240426E11</v>
      </c>
      <c r="F298" s="12" t="s">
        <v>680</v>
      </c>
      <c r="G298" s="9" t="s">
        <v>12</v>
      </c>
      <c r="H298" s="9" t="s">
        <v>13</v>
      </c>
      <c r="I298" s="13"/>
      <c r="J298" s="13"/>
      <c r="K298" s="14"/>
      <c r="L298" s="13"/>
      <c r="M298" s="14"/>
      <c r="N298" s="15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9">
        <v>297.0</v>
      </c>
      <c r="B299" s="10">
        <v>44082.0</v>
      </c>
      <c r="C299" s="9" t="s">
        <v>309</v>
      </c>
      <c r="D299" s="11" t="s">
        <v>681</v>
      </c>
      <c r="E299" s="9">
        <v>9.71544856176E11</v>
      </c>
      <c r="F299" s="12" t="s">
        <v>682</v>
      </c>
      <c r="G299" s="9" t="s">
        <v>52</v>
      </c>
      <c r="H299" s="9" t="s">
        <v>41</v>
      </c>
      <c r="I299" s="13"/>
      <c r="J299" s="13"/>
      <c r="K299" s="14"/>
      <c r="L299" s="13"/>
      <c r="M299" s="14"/>
      <c r="N299" s="15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9">
        <v>298.0</v>
      </c>
      <c r="B300" s="10">
        <v>44082.0</v>
      </c>
      <c r="C300" s="9" t="s">
        <v>473</v>
      </c>
      <c r="D300" s="11" t="s">
        <v>683</v>
      </c>
      <c r="E300" s="9">
        <v>9.7150807798E11</v>
      </c>
      <c r="F300" s="12" t="s">
        <v>684</v>
      </c>
      <c r="G300" s="9" t="s">
        <v>80</v>
      </c>
      <c r="H300" s="9" t="s">
        <v>41</v>
      </c>
      <c r="I300" s="13"/>
      <c r="J300" s="13"/>
      <c r="K300" s="14"/>
      <c r="L300" s="13"/>
      <c r="M300" s="14"/>
      <c r="N300" s="15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9">
        <v>299.0</v>
      </c>
      <c r="B301" s="18">
        <v>44082.0</v>
      </c>
      <c r="C301" s="19" t="s">
        <v>309</v>
      </c>
      <c r="D301" s="11" t="s">
        <v>685</v>
      </c>
      <c r="E301" s="19">
        <v>9.71529533763E11</v>
      </c>
      <c r="F301" s="12" t="s">
        <v>686</v>
      </c>
      <c r="G301" s="19" t="s">
        <v>60</v>
      </c>
      <c r="H301" s="19" t="s">
        <v>13</v>
      </c>
      <c r="I301" s="13"/>
      <c r="J301" s="13"/>
      <c r="K301" s="20"/>
      <c r="L301" s="13"/>
      <c r="M301" s="20"/>
      <c r="N301" s="21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9">
        <v>300.0</v>
      </c>
      <c r="B302" s="10">
        <v>44082.0</v>
      </c>
      <c r="C302" s="9" t="s">
        <v>309</v>
      </c>
      <c r="D302" s="11" t="s">
        <v>687</v>
      </c>
      <c r="E302" s="9">
        <v>9.71507204363E11</v>
      </c>
      <c r="F302" s="12" t="s">
        <v>688</v>
      </c>
      <c r="G302" s="9" t="s">
        <v>432</v>
      </c>
      <c r="H302" s="9" t="s">
        <v>81</v>
      </c>
      <c r="I302" s="13"/>
      <c r="J302" s="13"/>
      <c r="K302" s="14"/>
      <c r="L302" s="13"/>
      <c r="M302" s="14"/>
      <c r="N302" s="15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9">
        <v>301.0</v>
      </c>
      <c r="B303" s="10">
        <v>44082.0</v>
      </c>
      <c r="C303" s="9" t="s">
        <v>473</v>
      </c>
      <c r="D303" s="11" t="s">
        <v>689</v>
      </c>
      <c r="E303" s="9">
        <v>9.71555846554E11</v>
      </c>
      <c r="F303" s="12" t="s">
        <v>690</v>
      </c>
      <c r="G303" s="9" t="s">
        <v>176</v>
      </c>
      <c r="H303" s="9" t="s">
        <v>41</v>
      </c>
      <c r="I303" s="13"/>
      <c r="J303" s="13"/>
      <c r="K303" s="14"/>
      <c r="L303" s="13"/>
      <c r="M303" s="14"/>
      <c r="N303" s="15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9">
        <v>302.0</v>
      </c>
      <c r="B304" s="10">
        <v>44082.0</v>
      </c>
      <c r="C304" s="9" t="s">
        <v>309</v>
      </c>
      <c r="D304" s="11" t="s">
        <v>691</v>
      </c>
      <c r="E304" s="9">
        <v>9.7150715E11</v>
      </c>
      <c r="F304" s="12" t="s">
        <v>692</v>
      </c>
      <c r="G304" s="9" t="s">
        <v>432</v>
      </c>
      <c r="H304" s="9" t="s">
        <v>81</v>
      </c>
      <c r="I304" s="13"/>
      <c r="J304" s="13"/>
      <c r="K304" s="14"/>
      <c r="L304" s="13"/>
      <c r="M304" s="14"/>
      <c r="N304" s="15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9">
        <v>303.0</v>
      </c>
      <c r="B305" s="10">
        <v>44082.0</v>
      </c>
      <c r="C305" s="9" t="s">
        <v>473</v>
      </c>
      <c r="D305" s="11" t="s">
        <v>693</v>
      </c>
      <c r="E305" s="9">
        <v>9.71505541007E11</v>
      </c>
      <c r="F305" s="12" t="s">
        <v>694</v>
      </c>
      <c r="G305" s="9" t="s">
        <v>300</v>
      </c>
      <c r="H305" s="9" t="s">
        <v>17</v>
      </c>
      <c r="I305" s="13"/>
      <c r="J305" s="13"/>
      <c r="K305" s="14"/>
      <c r="L305" s="13"/>
      <c r="M305" s="14"/>
      <c r="N305" s="15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9">
        <v>304.0</v>
      </c>
      <c r="B306" s="10">
        <v>44082.0</v>
      </c>
      <c r="C306" s="9" t="s">
        <v>309</v>
      </c>
      <c r="D306" s="11" t="s">
        <v>695</v>
      </c>
      <c r="E306" s="9">
        <v>9.710561453458E12</v>
      </c>
      <c r="F306" s="12" t="s">
        <v>696</v>
      </c>
      <c r="G306" s="9" t="s">
        <v>28</v>
      </c>
      <c r="H306" s="9" t="s">
        <v>13</v>
      </c>
      <c r="I306" s="13"/>
      <c r="J306" s="13"/>
      <c r="K306" s="14"/>
      <c r="L306" s="13"/>
      <c r="M306" s="14"/>
      <c r="N306" s="15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9">
        <v>305.0</v>
      </c>
      <c r="B307" s="10">
        <v>44082.0</v>
      </c>
      <c r="C307" s="9" t="s">
        <v>309</v>
      </c>
      <c r="D307" s="11" t="s">
        <v>697</v>
      </c>
      <c r="E307" s="9">
        <v>9.71557758011E11</v>
      </c>
      <c r="F307" s="12" t="s">
        <v>698</v>
      </c>
      <c r="G307" s="9" t="s">
        <v>28</v>
      </c>
      <c r="H307" s="9" t="s">
        <v>13</v>
      </c>
      <c r="I307" s="13"/>
      <c r="J307" s="13"/>
      <c r="K307" s="14"/>
      <c r="L307" s="13"/>
      <c r="M307" s="14"/>
      <c r="N307" s="15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9">
        <v>306.0</v>
      </c>
      <c r="B308" s="10">
        <v>44082.0</v>
      </c>
      <c r="C308" s="9" t="s">
        <v>309</v>
      </c>
      <c r="D308" s="11" t="s">
        <v>699</v>
      </c>
      <c r="E308" s="9">
        <v>7.903331836E9</v>
      </c>
      <c r="F308" s="12" t="s">
        <v>700</v>
      </c>
      <c r="G308" s="9" t="s">
        <v>199</v>
      </c>
      <c r="H308" s="9" t="s">
        <v>13</v>
      </c>
      <c r="I308" s="13"/>
      <c r="J308" s="13"/>
      <c r="K308" s="14"/>
      <c r="L308" s="13"/>
      <c r="M308" s="14"/>
      <c r="N308" s="15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9">
        <v>307.0</v>
      </c>
      <c r="B309" s="10">
        <v>44082.0</v>
      </c>
      <c r="C309" s="9" t="s">
        <v>309</v>
      </c>
      <c r="D309" s="11" t="s">
        <v>701</v>
      </c>
      <c r="E309" s="9">
        <v>9.71566862461E11</v>
      </c>
      <c r="F309" s="12" t="s">
        <v>702</v>
      </c>
      <c r="G309" s="9" t="s">
        <v>199</v>
      </c>
      <c r="H309" s="9" t="s">
        <v>13</v>
      </c>
      <c r="I309" s="13"/>
      <c r="J309" s="13"/>
      <c r="K309" s="14"/>
      <c r="L309" s="13"/>
      <c r="M309" s="14"/>
      <c r="N309" s="15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9">
        <v>308.0</v>
      </c>
      <c r="B310" s="10">
        <v>44081.0</v>
      </c>
      <c r="C310" s="9" t="s">
        <v>393</v>
      </c>
      <c r="D310" s="11" t="s">
        <v>703</v>
      </c>
      <c r="E310" s="9">
        <v>9.7152765551E11</v>
      </c>
      <c r="F310" s="12" t="s">
        <v>704</v>
      </c>
      <c r="G310" s="9" t="s">
        <v>35</v>
      </c>
      <c r="H310" s="9" t="s">
        <v>41</v>
      </c>
      <c r="I310" s="13"/>
      <c r="J310" s="13"/>
      <c r="K310" s="14"/>
      <c r="L310" s="13"/>
      <c r="M310" s="14"/>
      <c r="N310" s="15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9">
        <v>309.0</v>
      </c>
      <c r="B311" s="10">
        <v>44081.0</v>
      </c>
      <c r="C311" s="9" t="s">
        <v>47</v>
      </c>
      <c r="D311" s="11" t="s">
        <v>705</v>
      </c>
      <c r="E311" s="9">
        <v>9.71508630307E11</v>
      </c>
      <c r="F311" s="12" t="s">
        <v>706</v>
      </c>
      <c r="G311" s="9" t="s">
        <v>80</v>
      </c>
      <c r="H311" s="9" t="s">
        <v>73</v>
      </c>
      <c r="I311" s="13"/>
      <c r="J311" s="13"/>
      <c r="K311" s="14"/>
      <c r="L311" s="13"/>
      <c r="M311" s="14"/>
      <c r="N311" s="15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9">
        <v>310.0</v>
      </c>
      <c r="B312" s="10">
        <v>44081.0</v>
      </c>
      <c r="C312" s="9" t="s">
        <v>473</v>
      </c>
      <c r="D312" s="11" t="s">
        <v>707</v>
      </c>
      <c r="E312" s="9">
        <v>9.71050544518E12</v>
      </c>
      <c r="F312" s="12" t="s">
        <v>708</v>
      </c>
      <c r="G312" s="9" t="s">
        <v>176</v>
      </c>
      <c r="H312" s="9" t="s">
        <v>206</v>
      </c>
      <c r="I312" s="13"/>
      <c r="J312" s="13"/>
      <c r="K312" s="14"/>
      <c r="L312" s="13"/>
      <c r="M312" s="14"/>
      <c r="N312" s="15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9">
        <v>311.0</v>
      </c>
      <c r="B313" s="10">
        <v>44081.0</v>
      </c>
      <c r="C313" s="9" t="s">
        <v>309</v>
      </c>
      <c r="D313" s="11" t="s">
        <v>709</v>
      </c>
      <c r="E313" s="9">
        <v>9.71563209755E11</v>
      </c>
      <c r="F313" s="12" t="s">
        <v>710</v>
      </c>
      <c r="G313" s="9" t="s">
        <v>20</v>
      </c>
      <c r="H313" s="9" t="s">
        <v>13</v>
      </c>
      <c r="I313" s="13"/>
      <c r="J313" s="13"/>
      <c r="K313" s="14"/>
      <c r="L313" s="13"/>
      <c r="M313" s="14"/>
      <c r="N313" s="15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9">
        <v>312.0</v>
      </c>
      <c r="B314" s="10">
        <v>44081.0</v>
      </c>
      <c r="C314" s="9" t="s">
        <v>309</v>
      </c>
      <c r="D314" s="11" t="s">
        <v>711</v>
      </c>
      <c r="E314" s="9">
        <v>9.710506300549E12</v>
      </c>
      <c r="F314" s="12" t="s">
        <v>712</v>
      </c>
      <c r="G314" s="9" t="s">
        <v>12</v>
      </c>
      <c r="H314" s="9" t="s">
        <v>13</v>
      </c>
      <c r="I314" s="13"/>
      <c r="J314" s="13"/>
      <c r="K314" s="14"/>
      <c r="L314" s="13"/>
      <c r="M314" s="14"/>
      <c r="N314" s="15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9">
        <v>313.0</v>
      </c>
      <c r="B315" s="10">
        <v>44081.0</v>
      </c>
      <c r="C315" s="9" t="s">
        <v>309</v>
      </c>
      <c r="D315" s="11" t="s">
        <v>713</v>
      </c>
      <c r="E315" s="9">
        <v>9.710563698E12</v>
      </c>
      <c r="F315" s="12" t="s">
        <v>714</v>
      </c>
      <c r="G315" s="9" t="s">
        <v>60</v>
      </c>
      <c r="H315" s="9" t="s">
        <v>17</v>
      </c>
      <c r="I315" s="13"/>
      <c r="J315" s="13"/>
      <c r="K315" s="14"/>
      <c r="L315" s="13"/>
      <c r="M315" s="14"/>
      <c r="N315" s="15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9">
        <v>314.0</v>
      </c>
      <c r="B316" s="10">
        <v>44081.0</v>
      </c>
      <c r="C316" s="9" t="s">
        <v>309</v>
      </c>
      <c r="D316" s="11" t="s">
        <v>711</v>
      </c>
      <c r="E316" s="9">
        <v>9.710506300549E12</v>
      </c>
      <c r="F316" s="12" t="s">
        <v>712</v>
      </c>
      <c r="G316" s="9" t="s">
        <v>12</v>
      </c>
      <c r="H316" s="9" t="s">
        <v>13</v>
      </c>
      <c r="I316" s="13"/>
      <c r="J316" s="13"/>
      <c r="K316" s="14"/>
      <c r="L316" s="13"/>
      <c r="M316" s="14"/>
      <c r="N316" s="15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9">
        <v>315.0</v>
      </c>
      <c r="B317" s="10">
        <v>44081.0</v>
      </c>
      <c r="C317" s="9" t="s">
        <v>309</v>
      </c>
      <c r="D317" s="11" t="s">
        <v>715</v>
      </c>
      <c r="E317" s="9">
        <v>9.710503176406E12</v>
      </c>
      <c r="F317" s="12" t="s">
        <v>716</v>
      </c>
      <c r="G317" s="9" t="s">
        <v>80</v>
      </c>
      <c r="H317" s="9" t="s">
        <v>260</v>
      </c>
      <c r="I317" s="13"/>
      <c r="J317" s="13"/>
      <c r="K317" s="14"/>
      <c r="L317" s="13"/>
      <c r="M317" s="14"/>
      <c r="N317" s="15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9">
        <v>316.0</v>
      </c>
      <c r="B318" s="10">
        <v>44081.0</v>
      </c>
      <c r="C318" s="9" t="s">
        <v>473</v>
      </c>
      <c r="D318" s="11" t="s">
        <v>717</v>
      </c>
      <c r="E318" s="9">
        <v>9.71528004274E11</v>
      </c>
      <c r="F318" s="12" t="s">
        <v>718</v>
      </c>
      <c r="G318" s="9" t="s">
        <v>80</v>
      </c>
      <c r="H318" s="9" t="s">
        <v>21</v>
      </c>
      <c r="I318" s="13"/>
      <c r="J318" s="13"/>
      <c r="K318" s="14"/>
      <c r="L318" s="13"/>
      <c r="M318" s="14"/>
      <c r="N318" s="15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9">
        <v>317.0</v>
      </c>
      <c r="B319" s="10">
        <v>44081.0</v>
      </c>
      <c r="C319" s="9" t="s">
        <v>309</v>
      </c>
      <c r="D319" s="11" t="s">
        <v>719</v>
      </c>
      <c r="E319" s="9">
        <v>9.710503402651E12</v>
      </c>
      <c r="F319" s="12" t="s">
        <v>720</v>
      </c>
      <c r="G319" s="9" t="s">
        <v>40</v>
      </c>
      <c r="H319" s="9" t="s">
        <v>41</v>
      </c>
      <c r="I319" s="13"/>
      <c r="J319" s="13"/>
      <c r="K319" s="14"/>
      <c r="L319" s="13"/>
      <c r="M319" s="14"/>
      <c r="N319" s="15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9">
        <v>318.0</v>
      </c>
      <c r="B320" s="10">
        <v>44081.0</v>
      </c>
      <c r="C320" s="9" t="s">
        <v>47</v>
      </c>
      <c r="D320" s="11" t="s">
        <v>721</v>
      </c>
      <c r="E320" s="9">
        <v>9.710506290616E12</v>
      </c>
      <c r="F320" s="12" t="s">
        <v>722</v>
      </c>
      <c r="G320" s="9" t="s">
        <v>176</v>
      </c>
      <c r="H320" s="9" t="s">
        <v>206</v>
      </c>
      <c r="I320" s="13"/>
      <c r="J320" s="13"/>
      <c r="K320" s="14"/>
      <c r="L320" s="13"/>
      <c r="M320" s="14"/>
      <c r="N320" s="15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9">
        <v>319.0</v>
      </c>
      <c r="B321" s="10">
        <v>44081.0</v>
      </c>
      <c r="C321" s="9" t="s">
        <v>309</v>
      </c>
      <c r="D321" s="11" t="s">
        <v>723</v>
      </c>
      <c r="E321" s="9">
        <v>9.710506586541E12</v>
      </c>
      <c r="F321" s="12" t="s">
        <v>724</v>
      </c>
      <c r="G321" s="9" t="s">
        <v>52</v>
      </c>
      <c r="H321" s="9" t="s">
        <v>654</v>
      </c>
      <c r="I321" s="13"/>
      <c r="J321" s="13"/>
      <c r="K321" s="14"/>
      <c r="L321" s="13"/>
      <c r="M321" s="14"/>
      <c r="N321" s="15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9">
        <v>320.0</v>
      </c>
      <c r="B322" s="10">
        <v>44081.0</v>
      </c>
      <c r="C322" s="9" t="s">
        <v>309</v>
      </c>
      <c r="D322" s="11" t="s">
        <v>725</v>
      </c>
      <c r="E322" s="9">
        <v>9.710561909888E12</v>
      </c>
      <c r="F322" s="12" t="s">
        <v>726</v>
      </c>
      <c r="G322" s="9" t="s">
        <v>364</v>
      </c>
      <c r="H322" s="9" t="s">
        <v>41</v>
      </c>
      <c r="I322" s="13"/>
      <c r="J322" s="13"/>
      <c r="K322" s="14"/>
      <c r="L322" s="13"/>
      <c r="M322" s="14"/>
      <c r="N322" s="15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9">
        <v>321.0</v>
      </c>
      <c r="B323" s="10">
        <v>44081.0</v>
      </c>
      <c r="C323" s="9" t="s">
        <v>309</v>
      </c>
      <c r="D323" s="11" t="s">
        <v>727</v>
      </c>
      <c r="E323" s="9">
        <v>4.367660789E11</v>
      </c>
      <c r="F323" s="12" t="s">
        <v>728</v>
      </c>
      <c r="G323" s="9" t="s">
        <v>80</v>
      </c>
      <c r="H323" s="9" t="s">
        <v>41</v>
      </c>
      <c r="I323" s="13"/>
      <c r="J323" s="13"/>
      <c r="K323" s="14"/>
      <c r="L323" s="13"/>
      <c r="M323" s="14"/>
      <c r="N323" s="15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9">
        <v>322.0</v>
      </c>
      <c r="B324" s="10">
        <v>44081.0</v>
      </c>
      <c r="C324" s="9" t="s">
        <v>309</v>
      </c>
      <c r="D324" s="11" t="s">
        <v>729</v>
      </c>
      <c r="E324" s="9">
        <v>9.19814066217E11</v>
      </c>
      <c r="F324" s="12" t="s">
        <v>730</v>
      </c>
      <c r="G324" s="9" t="s">
        <v>80</v>
      </c>
      <c r="H324" s="9" t="s">
        <v>73</v>
      </c>
      <c r="I324" s="13"/>
      <c r="J324" s="13"/>
      <c r="K324" s="14"/>
      <c r="L324" s="13"/>
      <c r="M324" s="14"/>
      <c r="N324" s="15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9">
        <v>323.0</v>
      </c>
      <c r="B325" s="10">
        <v>44081.0</v>
      </c>
      <c r="C325" s="9" t="s">
        <v>309</v>
      </c>
      <c r="D325" s="11" t="s">
        <v>731</v>
      </c>
      <c r="E325" s="9">
        <v>8.6523769974E10</v>
      </c>
      <c r="F325" s="12" t="s">
        <v>732</v>
      </c>
      <c r="G325" s="9" t="s">
        <v>80</v>
      </c>
      <c r="H325" s="9" t="s">
        <v>41</v>
      </c>
      <c r="I325" s="13"/>
      <c r="J325" s="13"/>
      <c r="K325" s="14"/>
      <c r="L325" s="13"/>
      <c r="M325" s="14"/>
      <c r="N325" s="15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9">
        <v>324.0</v>
      </c>
      <c r="B326" s="10">
        <v>44081.0</v>
      </c>
      <c r="C326" s="9" t="s">
        <v>309</v>
      </c>
      <c r="D326" s="11" t="s">
        <v>733</v>
      </c>
      <c r="E326" s="9">
        <v>9.710504517548E12</v>
      </c>
      <c r="F326" s="12" t="s">
        <v>734</v>
      </c>
      <c r="G326" s="9" t="s">
        <v>96</v>
      </c>
      <c r="H326" s="9" t="s">
        <v>41</v>
      </c>
      <c r="I326" s="13"/>
      <c r="J326" s="13"/>
      <c r="K326" s="14"/>
      <c r="L326" s="13"/>
      <c r="M326" s="14"/>
      <c r="N326" s="15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9">
        <v>325.0</v>
      </c>
      <c r="B327" s="10">
        <v>44081.0</v>
      </c>
      <c r="C327" s="9" t="s">
        <v>309</v>
      </c>
      <c r="D327" s="11" t="s">
        <v>735</v>
      </c>
      <c r="E327" s="9">
        <v>9.66504488024E11</v>
      </c>
      <c r="F327" s="12" t="s">
        <v>736</v>
      </c>
      <c r="G327" s="9" t="s">
        <v>184</v>
      </c>
      <c r="H327" s="9" t="s">
        <v>13</v>
      </c>
      <c r="I327" s="13"/>
      <c r="J327" s="13"/>
      <c r="K327" s="14"/>
      <c r="L327" s="13"/>
      <c r="M327" s="14"/>
      <c r="N327" s="15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9">
        <v>326.0</v>
      </c>
      <c r="B328" s="10">
        <v>44081.0</v>
      </c>
      <c r="C328" s="9" t="s">
        <v>309</v>
      </c>
      <c r="D328" s="11" t="s">
        <v>737</v>
      </c>
      <c r="E328" s="9">
        <v>9.710566631395E12</v>
      </c>
      <c r="F328" s="12" t="s">
        <v>738</v>
      </c>
      <c r="G328" s="9" t="s">
        <v>12</v>
      </c>
      <c r="H328" s="9" t="s">
        <v>13</v>
      </c>
      <c r="I328" s="13"/>
      <c r="J328" s="13"/>
      <c r="K328" s="14"/>
      <c r="L328" s="13"/>
      <c r="M328" s="14"/>
      <c r="N328" s="15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9">
        <v>327.0</v>
      </c>
      <c r="B329" s="10">
        <v>44081.0</v>
      </c>
      <c r="C329" s="9" t="s">
        <v>309</v>
      </c>
      <c r="D329" s="11" t="s">
        <v>739</v>
      </c>
      <c r="E329" s="9">
        <v>9.71564996697E11</v>
      </c>
      <c r="F329" s="12" t="s">
        <v>740</v>
      </c>
      <c r="G329" s="9" t="s">
        <v>12</v>
      </c>
      <c r="H329" s="9" t="s">
        <v>13</v>
      </c>
      <c r="I329" s="13"/>
      <c r="J329" s="13"/>
      <c r="K329" s="14"/>
      <c r="L329" s="13"/>
      <c r="M329" s="14"/>
      <c r="N329" s="15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9">
        <v>328.0</v>
      </c>
      <c r="B330" s="10">
        <v>44080.0</v>
      </c>
      <c r="C330" s="9" t="s">
        <v>473</v>
      </c>
      <c r="D330" s="11" t="s">
        <v>741</v>
      </c>
      <c r="E330" s="9">
        <v>9.710522000004E12</v>
      </c>
      <c r="F330" s="12" t="s">
        <v>742</v>
      </c>
      <c r="G330" s="9" t="s">
        <v>176</v>
      </c>
      <c r="H330" s="9" t="s">
        <v>337</v>
      </c>
      <c r="I330" s="13"/>
      <c r="J330" s="13"/>
      <c r="K330" s="14"/>
      <c r="L330" s="13"/>
      <c r="M330" s="14"/>
      <c r="N330" s="15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9">
        <v>329.0</v>
      </c>
      <c r="B331" s="10">
        <v>44080.0</v>
      </c>
      <c r="C331" s="9" t="s">
        <v>473</v>
      </c>
      <c r="D331" s="11" t="s">
        <v>743</v>
      </c>
      <c r="E331" s="9">
        <v>9.71050400338E12</v>
      </c>
      <c r="F331" s="12" t="s">
        <v>744</v>
      </c>
      <c r="G331" s="9" t="s">
        <v>300</v>
      </c>
      <c r="H331" s="9" t="s">
        <v>17</v>
      </c>
      <c r="I331" s="13"/>
      <c r="J331" s="13"/>
      <c r="K331" s="14"/>
      <c r="L331" s="13"/>
      <c r="M331" s="14"/>
      <c r="N331" s="15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9">
        <v>330.0</v>
      </c>
      <c r="B332" s="10">
        <v>44080.0</v>
      </c>
      <c r="C332" s="9" t="s">
        <v>309</v>
      </c>
      <c r="D332" s="11" t="s">
        <v>745</v>
      </c>
      <c r="E332" s="9">
        <v>9.71553405005E11</v>
      </c>
      <c r="F332" s="12" t="s">
        <v>746</v>
      </c>
      <c r="G332" s="9" t="s">
        <v>12</v>
      </c>
      <c r="H332" s="9" t="s">
        <v>13</v>
      </c>
      <c r="I332" s="13"/>
      <c r="J332" s="13"/>
      <c r="K332" s="14"/>
      <c r="L332" s="13"/>
      <c r="M332" s="14"/>
      <c r="N332" s="15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9">
        <v>331.0</v>
      </c>
      <c r="B333" s="10">
        <v>44080.0</v>
      </c>
      <c r="C333" s="9" t="s">
        <v>393</v>
      </c>
      <c r="D333" s="11" t="s">
        <v>747</v>
      </c>
      <c r="E333" s="9">
        <v>9.710555544669E12</v>
      </c>
      <c r="F333" s="12" t="s">
        <v>748</v>
      </c>
      <c r="G333" s="9" t="s">
        <v>35</v>
      </c>
      <c r="H333" s="9" t="s">
        <v>206</v>
      </c>
      <c r="I333" s="13"/>
      <c r="J333" s="13"/>
      <c r="K333" s="14"/>
      <c r="L333" s="13"/>
      <c r="M333" s="14"/>
      <c r="N333" s="15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9">
        <v>332.0</v>
      </c>
      <c r="B334" s="10">
        <v>44080.0</v>
      </c>
      <c r="C334" s="9" t="s">
        <v>309</v>
      </c>
      <c r="D334" s="11" t="s">
        <v>749</v>
      </c>
      <c r="E334" s="9">
        <v>9.71056546138E12</v>
      </c>
      <c r="F334" s="12" t="s">
        <v>750</v>
      </c>
      <c r="G334" s="9" t="s">
        <v>12</v>
      </c>
      <c r="H334" s="9" t="s">
        <v>13</v>
      </c>
      <c r="I334" s="13"/>
      <c r="J334" s="13"/>
      <c r="K334" s="14"/>
      <c r="L334" s="13"/>
      <c r="M334" s="14"/>
      <c r="N334" s="15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9">
        <v>333.0</v>
      </c>
      <c r="B335" s="10">
        <v>44080.0</v>
      </c>
      <c r="C335" s="9" t="s">
        <v>473</v>
      </c>
      <c r="D335" s="11" t="s">
        <v>751</v>
      </c>
      <c r="E335" s="9">
        <v>9.71050151588E12</v>
      </c>
      <c r="F335" s="12" t="s">
        <v>752</v>
      </c>
      <c r="G335" s="9" t="s">
        <v>20</v>
      </c>
      <c r="H335" s="9" t="s">
        <v>21</v>
      </c>
      <c r="I335" s="13"/>
      <c r="J335" s="13"/>
      <c r="K335" s="14"/>
      <c r="L335" s="13"/>
      <c r="M335" s="14"/>
      <c r="N335" s="15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9">
        <v>334.0</v>
      </c>
      <c r="B336" s="10">
        <v>44080.0</v>
      </c>
      <c r="C336" s="9" t="s">
        <v>393</v>
      </c>
      <c r="D336" s="11" t="s">
        <v>753</v>
      </c>
      <c r="E336" s="9">
        <v>9.71545224401E11</v>
      </c>
      <c r="F336" s="12" t="s">
        <v>754</v>
      </c>
      <c r="G336" s="9" t="s">
        <v>80</v>
      </c>
      <c r="H336" s="9" t="s">
        <v>17</v>
      </c>
      <c r="I336" s="13"/>
      <c r="J336" s="13"/>
      <c r="K336" s="14"/>
      <c r="L336" s="13"/>
      <c r="M336" s="14"/>
      <c r="N336" s="15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9">
        <v>335.0</v>
      </c>
      <c r="B337" s="10">
        <v>44080.0</v>
      </c>
      <c r="C337" s="9" t="s">
        <v>473</v>
      </c>
      <c r="D337" s="11" t="s">
        <v>755</v>
      </c>
      <c r="E337" s="9">
        <v>9.71508359674E11</v>
      </c>
      <c r="F337" s="12" t="s">
        <v>756</v>
      </c>
      <c r="G337" s="9" t="s">
        <v>12</v>
      </c>
      <c r="H337" s="9" t="s">
        <v>13</v>
      </c>
      <c r="I337" s="13"/>
      <c r="J337" s="13"/>
      <c r="K337" s="14"/>
      <c r="L337" s="13"/>
      <c r="M337" s="14"/>
      <c r="N337" s="15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9">
        <v>336.0</v>
      </c>
      <c r="B338" s="10">
        <v>44080.0</v>
      </c>
      <c r="C338" s="9" t="s">
        <v>473</v>
      </c>
      <c r="D338" s="11" t="s">
        <v>757</v>
      </c>
      <c r="E338" s="9">
        <v>9.710504988045E12</v>
      </c>
      <c r="F338" s="12" t="s">
        <v>758</v>
      </c>
      <c r="G338" s="9" t="s">
        <v>627</v>
      </c>
      <c r="H338" s="9" t="s">
        <v>17</v>
      </c>
      <c r="I338" s="13"/>
      <c r="J338" s="13"/>
      <c r="K338" s="14"/>
      <c r="L338" s="13"/>
      <c r="M338" s="14"/>
      <c r="N338" s="15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9">
        <v>337.0</v>
      </c>
      <c r="B339" s="10">
        <v>44080.0</v>
      </c>
      <c r="C339" s="9" t="s">
        <v>393</v>
      </c>
      <c r="D339" s="11" t="s">
        <v>50</v>
      </c>
      <c r="E339" s="9">
        <v>9.710566294276E12</v>
      </c>
      <c r="F339" s="12" t="s">
        <v>759</v>
      </c>
      <c r="G339" s="9" t="s">
        <v>80</v>
      </c>
      <c r="H339" s="9" t="s">
        <v>17</v>
      </c>
      <c r="I339" s="13"/>
      <c r="J339" s="13"/>
      <c r="K339" s="14"/>
      <c r="L339" s="13"/>
      <c r="M339" s="14"/>
      <c r="N339" s="15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9">
        <v>338.0</v>
      </c>
      <c r="B340" s="10">
        <v>44079.0</v>
      </c>
      <c r="C340" s="9" t="s">
        <v>473</v>
      </c>
      <c r="D340" s="11" t="s">
        <v>760</v>
      </c>
      <c r="E340" s="9">
        <v>9.71557159193E11</v>
      </c>
      <c r="F340" s="12" t="s">
        <v>761</v>
      </c>
      <c r="G340" s="9" t="s">
        <v>20</v>
      </c>
      <c r="H340" s="9" t="s">
        <v>17</v>
      </c>
      <c r="I340" s="13"/>
      <c r="J340" s="13"/>
      <c r="K340" s="14"/>
      <c r="L340" s="13"/>
      <c r="M340" s="14"/>
      <c r="N340" s="15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9">
        <v>339.0</v>
      </c>
      <c r="B341" s="10">
        <v>44079.0</v>
      </c>
      <c r="C341" s="9" t="s">
        <v>473</v>
      </c>
      <c r="D341" s="11" t="s">
        <v>762</v>
      </c>
      <c r="E341" s="9">
        <v>9.71559234462E11</v>
      </c>
      <c r="F341" s="12" t="s">
        <v>763</v>
      </c>
      <c r="G341" s="9" t="s">
        <v>80</v>
      </c>
      <c r="H341" s="9" t="s">
        <v>17</v>
      </c>
      <c r="I341" s="13"/>
      <c r="J341" s="13"/>
      <c r="K341" s="14"/>
      <c r="L341" s="13"/>
      <c r="M341" s="14"/>
      <c r="N341" s="15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9">
        <v>340.0</v>
      </c>
      <c r="B342" s="10">
        <v>44079.0</v>
      </c>
      <c r="C342" s="9" t="s">
        <v>473</v>
      </c>
      <c r="D342" s="11" t="s">
        <v>65</v>
      </c>
      <c r="E342" s="9">
        <v>9.71050616382E12</v>
      </c>
      <c r="F342" s="12" t="s">
        <v>764</v>
      </c>
      <c r="G342" s="9" t="s">
        <v>176</v>
      </c>
      <c r="H342" s="9" t="s">
        <v>81</v>
      </c>
      <c r="I342" s="13"/>
      <c r="J342" s="13"/>
      <c r="K342" s="14"/>
      <c r="L342" s="13"/>
      <c r="M342" s="14"/>
      <c r="N342" s="15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9">
        <v>341.0</v>
      </c>
      <c r="B343" s="10">
        <v>44079.0</v>
      </c>
      <c r="C343" s="9" t="s">
        <v>473</v>
      </c>
      <c r="D343" s="11" t="s">
        <v>765</v>
      </c>
      <c r="E343" s="9">
        <v>9.710506514011E12</v>
      </c>
      <c r="F343" s="12" t="s">
        <v>766</v>
      </c>
      <c r="G343" s="9" t="s">
        <v>364</v>
      </c>
      <c r="H343" s="9" t="s">
        <v>21</v>
      </c>
      <c r="I343" s="13"/>
      <c r="J343" s="13"/>
      <c r="K343" s="14"/>
      <c r="L343" s="13"/>
      <c r="M343" s="14"/>
      <c r="N343" s="15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9">
        <v>342.0</v>
      </c>
      <c r="B344" s="10">
        <v>44079.0</v>
      </c>
      <c r="C344" s="9" t="s">
        <v>473</v>
      </c>
      <c r="D344" s="11" t="s">
        <v>767</v>
      </c>
      <c r="E344" s="9">
        <v>9.710508515599E12</v>
      </c>
      <c r="F344" s="12" t="s">
        <v>768</v>
      </c>
      <c r="G344" s="9" t="s">
        <v>57</v>
      </c>
      <c r="H344" s="9" t="s">
        <v>654</v>
      </c>
      <c r="I344" s="13"/>
      <c r="J344" s="13"/>
      <c r="K344" s="14"/>
      <c r="L344" s="13"/>
      <c r="M344" s="14"/>
      <c r="N344" s="15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9">
        <v>343.0</v>
      </c>
      <c r="B345" s="10">
        <v>44079.0</v>
      </c>
      <c r="C345" s="9" t="s">
        <v>393</v>
      </c>
      <c r="D345" s="11" t="s">
        <v>769</v>
      </c>
      <c r="E345" s="9">
        <v>9.71566807293E11</v>
      </c>
      <c r="F345" s="12" t="s">
        <v>770</v>
      </c>
      <c r="G345" s="9" t="s">
        <v>176</v>
      </c>
      <c r="H345" s="9" t="s">
        <v>41</v>
      </c>
      <c r="I345" s="13"/>
      <c r="J345" s="13"/>
      <c r="K345" s="14"/>
      <c r="L345" s="13"/>
      <c r="M345" s="14"/>
      <c r="N345" s="15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9">
        <v>344.0</v>
      </c>
      <c r="B346" s="10">
        <v>44079.0</v>
      </c>
      <c r="C346" s="9" t="s">
        <v>473</v>
      </c>
      <c r="D346" s="16" t="s">
        <v>771</v>
      </c>
      <c r="E346" s="9">
        <v>9.710509533377E12</v>
      </c>
      <c r="F346" s="12" t="s">
        <v>772</v>
      </c>
      <c r="G346" s="9" t="s">
        <v>176</v>
      </c>
      <c r="H346" s="9" t="s">
        <v>206</v>
      </c>
      <c r="I346" s="13"/>
      <c r="J346" s="13"/>
      <c r="K346" s="14"/>
      <c r="L346" s="13"/>
      <c r="M346" s="22"/>
      <c r="N346" s="15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9">
        <v>345.0</v>
      </c>
      <c r="B347" s="10">
        <v>44079.0</v>
      </c>
      <c r="C347" s="9" t="s">
        <v>309</v>
      </c>
      <c r="D347" s="11" t="s">
        <v>773</v>
      </c>
      <c r="E347" s="9">
        <v>9.71507625615E11</v>
      </c>
      <c r="F347" s="12" t="s">
        <v>774</v>
      </c>
      <c r="G347" s="9" t="s">
        <v>364</v>
      </c>
      <c r="H347" s="9" t="s">
        <v>17</v>
      </c>
      <c r="I347" s="13"/>
      <c r="J347" s="13"/>
      <c r="K347" s="14"/>
      <c r="L347" s="13"/>
      <c r="M347" s="14"/>
      <c r="N347" s="15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9">
        <v>346.0</v>
      </c>
      <c r="B348" s="10">
        <v>44079.0</v>
      </c>
      <c r="C348" s="9" t="s">
        <v>309</v>
      </c>
      <c r="D348" s="16" t="s">
        <v>775</v>
      </c>
      <c r="E348" s="9">
        <v>9.710553966386E12</v>
      </c>
      <c r="F348" s="12" t="s">
        <v>776</v>
      </c>
      <c r="G348" s="9" t="s">
        <v>57</v>
      </c>
      <c r="H348" s="9" t="s">
        <v>41</v>
      </c>
      <c r="I348" s="13"/>
      <c r="J348" s="13"/>
      <c r="K348" s="14"/>
      <c r="L348" s="13"/>
      <c r="M348" s="22"/>
      <c r="N348" s="15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9">
        <v>347.0</v>
      </c>
      <c r="B349" s="10">
        <v>44079.0</v>
      </c>
      <c r="C349" s="9" t="s">
        <v>309</v>
      </c>
      <c r="D349" s="11" t="s">
        <v>777</v>
      </c>
      <c r="E349" s="9">
        <v>9.7105625655E12</v>
      </c>
      <c r="F349" s="12" t="s">
        <v>778</v>
      </c>
      <c r="G349" s="9" t="s">
        <v>12</v>
      </c>
      <c r="H349" s="9" t="s">
        <v>13</v>
      </c>
      <c r="I349" s="13"/>
      <c r="J349" s="13"/>
      <c r="K349" s="14"/>
      <c r="L349" s="13"/>
      <c r="M349" s="14"/>
      <c r="N349" s="15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9">
        <v>348.0</v>
      </c>
      <c r="B350" s="10">
        <v>44078.0</v>
      </c>
      <c r="C350" s="9" t="s">
        <v>150</v>
      </c>
      <c r="D350" s="11" t="s">
        <v>779</v>
      </c>
      <c r="E350" s="9">
        <v>9.710501482034E12</v>
      </c>
      <c r="F350" s="12" t="s">
        <v>780</v>
      </c>
      <c r="G350" s="9" t="s">
        <v>176</v>
      </c>
      <c r="H350" s="9" t="s">
        <v>206</v>
      </c>
      <c r="I350" s="13"/>
      <c r="J350" s="13"/>
      <c r="K350" s="14"/>
      <c r="L350" s="13"/>
      <c r="M350" s="14"/>
      <c r="N350" s="15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9">
        <v>349.0</v>
      </c>
      <c r="B351" s="10">
        <v>44078.0</v>
      </c>
      <c r="C351" s="9" t="s">
        <v>781</v>
      </c>
      <c r="D351" s="11" t="s">
        <v>782</v>
      </c>
      <c r="E351" s="17">
        <f>+971507427452</f>
        <v>971507427452</v>
      </c>
      <c r="F351" s="12" t="s">
        <v>783</v>
      </c>
      <c r="G351" s="9" t="s">
        <v>176</v>
      </c>
      <c r="H351" s="9" t="s">
        <v>41</v>
      </c>
      <c r="I351" s="13"/>
      <c r="J351" s="13"/>
      <c r="K351" s="14"/>
      <c r="L351" s="13"/>
      <c r="M351" s="14"/>
      <c r="N351" s="15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9">
        <v>350.0</v>
      </c>
      <c r="B352" s="10">
        <v>44078.0</v>
      </c>
      <c r="C352" s="9" t="s">
        <v>781</v>
      </c>
      <c r="D352" s="11" t="s">
        <v>784</v>
      </c>
      <c r="E352" s="17">
        <f>+9710566864867</f>
        <v>9710566864867</v>
      </c>
      <c r="F352" s="12" t="s">
        <v>785</v>
      </c>
      <c r="G352" s="9" t="s">
        <v>57</v>
      </c>
      <c r="H352" s="9" t="s">
        <v>17</v>
      </c>
      <c r="I352" s="13"/>
      <c r="J352" s="13"/>
      <c r="K352" s="14"/>
      <c r="L352" s="13"/>
      <c r="M352" s="14"/>
      <c r="N352" s="15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9">
        <v>351.0</v>
      </c>
      <c r="B353" s="10">
        <v>44078.0</v>
      </c>
      <c r="C353" s="9" t="s">
        <v>150</v>
      </c>
      <c r="D353" s="11" t="s">
        <v>786</v>
      </c>
      <c r="E353" s="9">
        <v>9.710558801266E12</v>
      </c>
      <c r="F353" s="12" t="s">
        <v>787</v>
      </c>
      <c r="G353" s="9" t="s">
        <v>176</v>
      </c>
      <c r="H353" s="9" t="s">
        <v>41</v>
      </c>
      <c r="I353" s="13"/>
      <c r="J353" s="13"/>
      <c r="K353" s="14"/>
      <c r="L353" s="13"/>
      <c r="M353" s="14"/>
      <c r="N353" s="15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9">
        <v>352.0</v>
      </c>
      <c r="B354" s="10">
        <v>44078.0</v>
      </c>
      <c r="C354" s="9" t="s">
        <v>309</v>
      </c>
      <c r="D354" s="11" t="s">
        <v>788</v>
      </c>
      <c r="E354" s="9">
        <v>9.710529985661E12</v>
      </c>
      <c r="F354" s="12" t="s">
        <v>789</v>
      </c>
      <c r="G354" s="9" t="s">
        <v>96</v>
      </c>
      <c r="H354" s="9" t="s">
        <v>41</v>
      </c>
      <c r="I354" s="13"/>
      <c r="J354" s="13"/>
      <c r="K354" s="14"/>
      <c r="L354" s="13"/>
      <c r="M354" s="14"/>
      <c r="N354" s="15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9">
        <v>353.0</v>
      </c>
      <c r="B355" s="10">
        <v>44078.0</v>
      </c>
      <c r="C355" s="9" t="s">
        <v>473</v>
      </c>
      <c r="D355" s="11" t="s">
        <v>790</v>
      </c>
      <c r="E355" s="9">
        <v>9.710502169368E12</v>
      </c>
      <c r="F355" s="12" t="s">
        <v>791</v>
      </c>
      <c r="G355" s="9" t="s">
        <v>80</v>
      </c>
      <c r="H355" s="9" t="s">
        <v>654</v>
      </c>
      <c r="I355" s="13"/>
      <c r="J355" s="13"/>
      <c r="K355" s="14"/>
      <c r="L355" s="13"/>
      <c r="M355" s="14"/>
      <c r="N355" s="15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9">
        <v>354.0</v>
      </c>
      <c r="B356" s="10">
        <v>44078.0</v>
      </c>
      <c r="C356" s="9" t="s">
        <v>150</v>
      </c>
      <c r="D356" s="11" t="s">
        <v>786</v>
      </c>
      <c r="E356" s="9">
        <v>9.710558801266E12</v>
      </c>
      <c r="F356" s="12" t="s">
        <v>787</v>
      </c>
      <c r="G356" s="9" t="s">
        <v>176</v>
      </c>
      <c r="H356" s="9" t="s">
        <v>41</v>
      </c>
      <c r="I356" s="13"/>
      <c r="J356" s="13"/>
      <c r="K356" s="14"/>
      <c r="L356" s="13"/>
      <c r="M356" s="14"/>
      <c r="N356" s="15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9">
        <v>355.0</v>
      </c>
      <c r="B357" s="10">
        <v>44078.0</v>
      </c>
      <c r="C357" s="9" t="s">
        <v>309</v>
      </c>
      <c r="D357" s="16" t="s">
        <v>157</v>
      </c>
      <c r="E357" s="9">
        <v>9.710504878744E12</v>
      </c>
      <c r="F357" s="12" t="s">
        <v>792</v>
      </c>
      <c r="G357" s="9" t="s">
        <v>57</v>
      </c>
      <c r="H357" s="9" t="s">
        <v>41</v>
      </c>
      <c r="I357" s="13"/>
      <c r="J357" s="13"/>
      <c r="K357" s="14"/>
      <c r="L357" s="13"/>
      <c r="M357" s="22"/>
      <c r="N357" s="15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9">
        <v>356.0</v>
      </c>
      <c r="B358" s="10">
        <v>44078.0</v>
      </c>
      <c r="C358" s="9" t="s">
        <v>473</v>
      </c>
      <c r="D358" s="11" t="s">
        <v>793</v>
      </c>
      <c r="E358" s="9">
        <v>9.710553333843E12</v>
      </c>
      <c r="F358" s="12" t="s">
        <v>794</v>
      </c>
      <c r="G358" s="9" t="s">
        <v>28</v>
      </c>
      <c r="H358" s="9" t="s">
        <v>13</v>
      </c>
      <c r="I358" s="13"/>
      <c r="J358" s="13"/>
      <c r="K358" s="14"/>
      <c r="L358" s="13"/>
      <c r="M358" s="14"/>
      <c r="N358" s="15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9">
        <v>357.0</v>
      </c>
      <c r="B359" s="10">
        <v>44078.0</v>
      </c>
      <c r="C359" s="9" t="s">
        <v>781</v>
      </c>
      <c r="D359" s="11" t="s">
        <v>795</v>
      </c>
      <c r="E359" s="17">
        <f>+971547441759</f>
        <v>971547441759</v>
      </c>
      <c r="F359" s="12" t="s">
        <v>796</v>
      </c>
      <c r="G359" s="9" t="s">
        <v>176</v>
      </c>
      <c r="H359" s="9" t="s">
        <v>206</v>
      </c>
      <c r="I359" s="13"/>
      <c r="J359" s="13"/>
      <c r="K359" s="14"/>
      <c r="L359" s="13"/>
      <c r="M359" s="14"/>
      <c r="N359" s="15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9">
        <v>358.0</v>
      </c>
      <c r="B360" s="10">
        <v>44078.0</v>
      </c>
      <c r="C360" s="9" t="s">
        <v>781</v>
      </c>
      <c r="D360" s="11" t="s">
        <v>797</v>
      </c>
      <c r="E360" s="17">
        <f>+9710522330115</f>
        <v>9710522330115</v>
      </c>
      <c r="F360" s="12" t="s">
        <v>798</v>
      </c>
      <c r="G360" s="9" t="s">
        <v>96</v>
      </c>
      <c r="H360" s="9" t="s">
        <v>73</v>
      </c>
      <c r="I360" s="13"/>
      <c r="J360" s="13"/>
      <c r="K360" s="14"/>
      <c r="L360" s="13"/>
      <c r="M360" s="14"/>
      <c r="N360" s="15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9">
        <v>359.0</v>
      </c>
      <c r="B361" s="10">
        <v>44078.0</v>
      </c>
      <c r="C361" s="9" t="s">
        <v>473</v>
      </c>
      <c r="D361" s="11" t="s">
        <v>341</v>
      </c>
      <c r="E361" s="9">
        <v>9.71506290909E11</v>
      </c>
      <c r="F361" s="12" t="s">
        <v>799</v>
      </c>
      <c r="G361" s="9" t="s">
        <v>12</v>
      </c>
      <c r="H361" s="9" t="s">
        <v>13</v>
      </c>
      <c r="I361" s="13"/>
      <c r="J361" s="13"/>
      <c r="K361" s="14"/>
      <c r="L361" s="13"/>
      <c r="M361" s="14"/>
      <c r="N361" s="15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9">
        <v>360.0</v>
      </c>
      <c r="B362" s="10">
        <v>44078.0</v>
      </c>
      <c r="C362" s="9" t="s">
        <v>800</v>
      </c>
      <c r="D362" s="11" t="s">
        <v>801</v>
      </c>
      <c r="E362" s="17">
        <f>+971502403994</f>
        <v>971502403994</v>
      </c>
      <c r="F362" s="12" t="s">
        <v>802</v>
      </c>
      <c r="G362" s="9" t="s">
        <v>96</v>
      </c>
      <c r="H362" s="9" t="s">
        <v>41</v>
      </c>
      <c r="I362" s="13"/>
      <c r="J362" s="13"/>
      <c r="K362" s="14"/>
      <c r="L362" s="13"/>
      <c r="M362" s="14"/>
      <c r="N362" s="15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9">
        <v>361.0</v>
      </c>
      <c r="B363" s="10">
        <v>44078.0</v>
      </c>
      <c r="C363" s="9" t="s">
        <v>781</v>
      </c>
      <c r="D363" s="11" t="s">
        <v>803</v>
      </c>
      <c r="E363" s="17">
        <f>+9710561703966</f>
        <v>9710561703966</v>
      </c>
      <c r="F363" s="12" t="s">
        <v>804</v>
      </c>
      <c r="G363" s="9" t="s">
        <v>96</v>
      </c>
      <c r="H363" s="9" t="s">
        <v>21</v>
      </c>
      <c r="I363" s="13"/>
      <c r="J363" s="13"/>
      <c r="K363" s="14"/>
      <c r="L363" s="13"/>
      <c r="M363" s="14"/>
      <c r="N363" s="15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9">
        <v>362.0</v>
      </c>
      <c r="B364" s="10">
        <v>44078.0</v>
      </c>
      <c r="C364" s="9" t="s">
        <v>781</v>
      </c>
      <c r="D364" s="11" t="s">
        <v>805</v>
      </c>
      <c r="E364" s="17">
        <f>+971547868631</f>
        <v>971547868631</v>
      </c>
      <c r="F364" s="12" t="s">
        <v>806</v>
      </c>
      <c r="G364" s="9" t="s">
        <v>57</v>
      </c>
      <c r="H364" s="9" t="s">
        <v>17</v>
      </c>
      <c r="I364" s="13"/>
      <c r="J364" s="13"/>
      <c r="K364" s="14"/>
      <c r="L364" s="13"/>
      <c r="M364" s="14"/>
      <c r="N364" s="15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9">
        <v>363.0</v>
      </c>
      <c r="B365" s="10">
        <v>44078.0</v>
      </c>
      <c r="C365" s="9" t="s">
        <v>781</v>
      </c>
      <c r="D365" s="11" t="s">
        <v>807</v>
      </c>
      <c r="E365" s="17">
        <f>+971555198340</f>
        <v>971555198340</v>
      </c>
      <c r="F365" s="12" t="s">
        <v>808</v>
      </c>
      <c r="G365" s="9" t="s">
        <v>80</v>
      </c>
      <c r="H365" s="9" t="s">
        <v>81</v>
      </c>
      <c r="I365" s="13"/>
      <c r="J365" s="13"/>
      <c r="K365" s="14"/>
      <c r="L365" s="13"/>
      <c r="M365" s="14"/>
      <c r="N365" s="15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9">
        <v>364.0</v>
      </c>
      <c r="B366" s="10">
        <v>44078.0</v>
      </c>
      <c r="C366" s="9" t="s">
        <v>781</v>
      </c>
      <c r="D366" s="11" t="s">
        <v>809</v>
      </c>
      <c r="E366" s="17">
        <f>+971505918208</f>
        <v>971505918208</v>
      </c>
      <c r="F366" s="12" t="s">
        <v>810</v>
      </c>
      <c r="G366" s="9" t="s">
        <v>57</v>
      </c>
      <c r="H366" s="9" t="s">
        <v>811</v>
      </c>
      <c r="I366" s="13"/>
      <c r="J366" s="13"/>
      <c r="K366" s="14"/>
      <c r="L366" s="13"/>
      <c r="M366" s="14"/>
      <c r="N366" s="15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9">
        <v>365.0</v>
      </c>
      <c r="B367" s="10">
        <v>44078.0</v>
      </c>
      <c r="C367" s="9" t="s">
        <v>473</v>
      </c>
      <c r="D367" s="11" t="s">
        <v>812</v>
      </c>
      <c r="E367" s="9">
        <v>9.710506591784E12</v>
      </c>
      <c r="F367" s="12" t="s">
        <v>813</v>
      </c>
      <c r="G367" s="9" t="s">
        <v>35</v>
      </c>
      <c r="H367" s="9" t="s">
        <v>206</v>
      </c>
      <c r="I367" s="13"/>
      <c r="J367" s="13"/>
      <c r="K367" s="14"/>
      <c r="L367" s="13"/>
      <c r="M367" s="14"/>
      <c r="N367" s="15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9">
        <v>366.0</v>
      </c>
      <c r="B368" s="10">
        <v>44078.0</v>
      </c>
      <c r="C368" s="9" t="s">
        <v>781</v>
      </c>
      <c r="D368" s="11" t="s">
        <v>814</v>
      </c>
      <c r="E368" s="17">
        <f>+9710524501269</f>
        <v>9710524501269</v>
      </c>
      <c r="F368" s="12" t="s">
        <v>815</v>
      </c>
      <c r="G368" s="9" t="s">
        <v>432</v>
      </c>
      <c r="H368" s="9" t="s">
        <v>81</v>
      </c>
      <c r="I368" s="13"/>
      <c r="J368" s="13"/>
      <c r="K368" s="14"/>
      <c r="L368" s="13"/>
      <c r="M368" s="14"/>
      <c r="N368" s="15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9">
        <v>367.0</v>
      </c>
      <c r="B369" s="10">
        <v>44078.0</v>
      </c>
      <c r="C369" s="9" t="s">
        <v>473</v>
      </c>
      <c r="D369" s="11" t="s">
        <v>816</v>
      </c>
      <c r="E369" s="9">
        <v>9.71543560874E11</v>
      </c>
      <c r="F369" s="12" t="s">
        <v>817</v>
      </c>
      <c r="G369" s="9" t="s">
        <v>96</v>
      </c>
      <c r="H369" s="9" t="s">
        <v>41</v>
      </c>
      <c r="I369" s="13"/>
      <c r="J369" s="13"/>
      <c r="K369" s="14"/>
      <c r="L369" s="13"/>
      <c r="M369" s="14"/>
      <c r="N369" s="15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9">
        <v>368.0</v>
      </c>
      <c r="B370" s="10">
        <v>44078.0</v>
      </c>
      <c r="C370" s="9" t="s">
        <v>781</v>
      </c>
      <c r="D370" s="11" t="s">
        <v>818</v>
      </c>
      <c r="E370" s="17">
        <f>+971554558450</f>
        <v>971554558450</v>
      </c>
      <c r="F370" s="12" t="s">
        <v>819</v>
      </c>
      <c r="G370" s="9" t="s">
        <v>432</v>
      </c>
      <c r="H370" s="9" t="s">
        <v>41</v>
      </c>
      <c r="I370" s="13"/>
      <c r="J370" s="13"/>
      <c r="K370" s="14"/>
      <c r="L370" s="13"/>
      <c r="M370" s="14"/>
      <c r="N370" s="15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9">
        <v>369.0</v>
      </c>
      <c r="B371" s="10">
        <v>44078.0</v>
      </c>
      <c r="C371" s="9" t="s">
        <v>150</v>
      </c>
      <c r="D371" s="11" t="s">
        <v>820</v>
      </c>
      <c r="E371" s="9">
        <v>9.710507845884E12</v>
      </c>
      <c r="F371" s="12" t="s">
        <v>821</v>
      </c>
      <c r="G371" s="9" t="s">
        <v>80</v>
      </c>
      <c r="H371" s="9" t="s">
        <v>41</v>
      </c>
      <c r="I371" s="13"/>
      <c r="J371" s="13"/>
      <c r="K371" s="14"/>
      <c r="L371" s="13"/>
      <c r="M371" s="14"/>
      <c r="N371" s="15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9">
        <v>370.0</v>
      </c>
      <c r="B372" s="10">
        <v>44078.0</v>
      </c>
      <c r="C372" s="9" t="s">
        <v>150</v>
      </c>
      <c r="D372" s="11" t="s">
        <v>822</v>
      </c>
      <c r="E372" s="9">
        <v>9.710564886864E12</v>
      </c>
      <c r="F372" s="12" t="s">
        <v>823</v>
      </c>
      <c r="G372" s="9" t="s">
        <v>80</v>
      </c>
      <c r="H372" s="9" t="s">
        <v>654</v>
      </c>
      <c r="I372" s="13"/>
      <c r="J372" s="13"/>
      <c r="K372" s="14"/>
      <c r="L372" s="13"/>
      <c r="M372" s="14"/>
      <c r="N372" s="15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9">
        <v>371.0</v>
      </c>
      <c r="B373" s="10">
        <v>44077.0</v>
      </c>
      <c r="C373" s="9" t="s">
        <v>150</v>
      </c>
      <c r="D373" s="11" t="s">
        <v>824</v>
      </c>
      <c r="E373" s="9">
        <v>9.710655768E11</v>
      </c>
      <c r="F373" s="12" t="s">
        <v>825</v>
      </c>
      <c r="G373" s="9" t="s">
        <v>300</v>
      </c>
      <c r="H373" s="9" t="s">
        <v>41</v>
      </c>
      <c r="I373" s="13"/>
      <c r="J373" s="13"/>
      <c r="K373" s="14"/>
      <c r="L373" s="13"/>
      <c r="M373" s="14"/>
      <c r="N373" s="15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9">
        <v>372.0</v>
      </c>
      <c r="B374" s="10">
        <v>44077.0</v>
      </c>
      <c r="C374" s="9" t="s">
        <v>781</v>
      </c>
      <c r="D374" s="11" t="s">
        <v>826</v>
      </c>
      <c r="E374" s="17">
        <f>+971506447448</f>
        <v>971506447448</v>
      </c>
      <c r="F374" s="12" t="s">
        <v>827</v>
      </c>
      <c r="G374" s="9" t="s">
        <v>16</v>
      </c>
      <c r="H374" s="9" t="s">
        <v>17</v>
      </c>
      <c r="I374" s="13"/>
      <c r="J374" s="13"/>
      <c r="K374" s="14"/>
      <c r="L374" s="13"/>
      <c r="M374" s="14"/>
      <c r="N374" s="15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9">
        <v>373.0</v>
      </c>
      <c r="B375" s="10">
        <v>44077.0</v>
      </c>
      <c r="C375" s="9" t="s">
        <v>781</v>
      </c>
      <c r="D375" s="11" t="s">
        <v>828</v>
      </c>
      <c r="E375" s="17">
        <f>+9710508547385</f>
        <v>9710508547385</v>
      </c>
      <c r="F375" s="12" t="s">
        <v>829</v>
      </c>
      <c r="G375" s="9" t="s">
        <v>20</v>
      </c>
      <c r="H375" s="9" t="s">
        <v>13</v>
      </c>
      <c r="I375" s="13"/>
      <c r="J375" s="13"/>
      <c r="K375" s="14"/>
      <c r="L375" s="13"/>
      <c r="M375" s="14"/>
      <c r="N375" s="15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9">
        <v>374.0</v>
      </c>
      <c r="B376" s="10">
        <v>44077.0</v>
      </c>
      <c r="C376" s="9" t="s">
        <v>800</v>
      </c>
      <c r="D376" s="11" t="s">
        <v>830</v>
      </c>
      <c r="E376" s="17">
        <f>+971504828445</f>
        <v>971504828445</v>
      </c>
      <c r="F376" s="12" t="s">
        <v>831</v>
      </c>
      <c r="G376" s="9" t="s">
        <v>12</v>
      </c>
      <c r="H376" s="9" t="s">
        <v>13</v>
      </c>
      <c r="I376" s="13"/>
      <c r="J376" s="13"/>
      <c r="K376" s="14"/>
      <c r="L376" s="13"/>
      <c r="M376" s="14"/>
      <c r="N376" s="15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9">
        <v>375.0</v>
      </c>
      <c r="B377" s="10">
        <v>44077.0</v>
      </c>
      <c r="C377" s="9" t="s">
        <v>781</v>
      </c>
      <c r="D377" s="11" t="s">
        <v>832</v>
      </c>
      <c r="E377" s="17">
        <f>+9710502265092</f>
        <v>9710502265092</v>
      </c>
      <c r="F377" s="12" t="s">
        <v>833</v>
      </c>
      <c r="G377" s="9" t="s">
        <v>20</v>
      </c>
      <c r="H377" s="9" t="s">
        <v>13</v>
      </c>
      <c r="I377" s="13"/>
      <c r="J377" s="13"/>
      <c r="K377" s="14"/>
      <c r="L377" s="13"/>
      <c r="M377" s="14"/>
      <c r="N377" s="15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9">
        <v>376.0</v>
      </c>
      <c r="B378" s="10">
        <v>44077.0</v>
      </c>
      <c r="C378" s="9" t="s">
        <v>150</v>
      </c>
      <c r="D378" s="11" t="s">
        <v>834</v>
      </c>
      <c r="E378" s="9">
        <v>9.710505595782E12</v>
      </c>
      <c r="F378" s="12" t="s">
        <v>835</v>
      </c>
      <c r="G378" s="9" t="s">
        <v>16</v>
      </c>
      <c r="H378" s="9" t="s">
        <v>41</v>
      </c>
      <c r="I378" s="13"/>
      <c r="J378" s="13"/>
      <c r="K378" s="14"/>
      <c r="L378" s="13"/>
      <c r="M378" s="14"/>
      <c r="N378" s="15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9">
        <v>377.0</v>
      </c>
      <c r="B379" s="10">
        <v>44077.0</v>
      </c>
      <c r="C379" s="9" t="s">
        <v>473</v>
      </c>
      <c r="D379" s="11" t="s">
        <v>836</v>
      </c>
      <c r="E379" s="9">
        <v>9.71566836826E11</v>
      </c>
      <c r="F379" s="12" t="s">
        <v>837</v>
      </c>
      <c r="G379" s="9" t="s">
        <v>12</v>
      </c>
      <c r="H379" s="9" t="s">
        <v>13</v>
      </c>
      <c r="I379" s="13"/>
      <c r="J379" s="13"/>
      <c r="K379" s="14"/>
      <c r="L379" s="13"/>
      <c r="M379" s="14"/>
      <c r="N379" s="15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9">
        <v>378.0</v>
      </c>
      <c r="B380" s="10">
        <v>44077.0</v>
      </c>
      <c r="C380" s="9" t="s">
        <v>781</v>
      </c>
      <c r="D380" s="11" t="s">
        <v>838</v>
      </c>
      <c r="E380" s="17">
        <f>+971544992456</f>
        <v>971544992456</v>
      </c>
      <c r="F380" s="12" t="s">
        <v>839</v>
      </c>
      <c r="G380" s="9" t="s">
        <v>12</v>
      </c>
      <c r="H380" s="9" t="s">
        <v>13</v>
      </c>
      <c r="I380" s="13"/>
      <c r="J380" s="13"/>
      <c r="K380" s="14"/>
      <c r="L380" s="13"/>
      <c r="M380" s="14"/>
      <c r="N380" s="15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9">
        <v>379.0</v>
      </c>
      <c r="B381" s="10">
        <v>44077.0</v>
      </c>
      <c r="C381" s="9" t="s">
        <v>309</v>
      </c>
      <c r="D381" s="16" t="s">
        <v>840</v>
      </c>
      <c r="E381" s="9">
        <v>9.71052200402E12</v>
      </c>
      <c r="F381" s="12" t="s">
        <v>841</v>
      </c>
      <c r="G381" s="9" t="s">
        <v>80</v>
      </c>
      <c r="H381" s="9" t="s">
        <v>41</v>
      </c>
      <c r="I381" s="13"/>
      <c r="J381" s="13"/>
      <c r="K381" s="14"/>
      <c r="L381" s="13"/>
      <c r="M381" s="22"/>
      <c r="N381" s="15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9">
        <v>380.0</v>
      </c>
      <c r="B382" s="10">
        <v>44077.0</v>
      </c>
      <c r="C382" s="9" t="s">
        <v>309</v>
      </c>
      <c r="D382" s="11" t="s">
        <v>842</v>
      </c>
      <c r="E382" s="9">
        <v>9.71058588625E12</v>
      </c>
      <c r="F382" s="12" t="s">
        <v>843</v>
      </c>
      <c r="G382" s="9" t="s">
        <v>300</v>
      </c>
      <c r="H382" s="9" t="s">
        <v>41</v>
      </c>
      <c r="I382" s="13"/>
      <c r="J382" s="13"/>
      <c r="K382" s="14"/>
      <c r="L382" s="13"/>
      <c r="M382" s="14"/>
      <c r="N382" s="15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9">
        <v>381.0</v>
      </c>
      <c r="B383" s="10">
        <v>44077.0</v>
      </c>
      <c r="C383" s="9" t="s">
        <v>781</v>
      </c>
      <c r="D383" s="11" t="s">
        <v>844</v>
      </c>
      <c r="E383" s="17">
        <f>+917907499350</f>
        <v>917907499350</v>
      </c>
      <c r="F383" s="12" t="s">
        <v>845</v>
      </c>
      <c r="G383" s="9" t="s">
        <v>176</v>
      </c>
      <c r="H383" s="9" t="s">
        <v>17</v>
      </c>
      <c r="I383" s="13"/>
      <c r="J383" s="13"/>
      <c r="K383" s="14"/>
      <c r="L383" s="13"/>
      <c r="M383" s="14"/>
      <c r="N383" s="15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9">
        <v>382.0</v>
      </c>
      <c r="B384" s="10">
        <v>44077.0</v>
      </c>
      <c r="C384" s="9" t="s">
        <v>47</v>
      </c>
      <c r="D384" s="11" t="s">
        <v>846</v>
      </c>
      <c r="E384" s="9">
        <v>9.710503718614E12</v>
      </c>
      <c r="F384" s="12" t="s">
        <v>847</v>
      </c>
      <c r="G384" s="9" t="s">
        <v>52</v>
      </c>
      <c r="H384" s="9" t="s">
        <v>21</v>
      </c>
      <c r="I384" s="13"/>
      <c r="J384" s="13"/>
      <c r="K384" s="14"/>
      <c r="L384" s="13"/>
      <c r="M384" s="14"/>
      <c r="N384" s="15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9">
        <v>383.0</v>
      </c>
      <c r="B385" s="10">
        <v>44077.0</v>
      </c>
      <c r="C385" s="9" t="s">
        <v>309</v>
      </c>
      <c r="D385" s="16" t="s">
        <v>848</v>
      </c>
      <c r="E385" s="9">
        <v>9.710507710181E12</v>
      </c>
      <c r="F385" s="12" t="s">
        <v>849</v>
      </c>
      <c r="G385" s="9" t="s">
        <v>57</v>
      </c>
      <c r="H385" s="9" t="s">
        <v>41</v>
      </c>
      <c r="I385" s="13"/>
      <c r="J385" s="13"/>
      <c r="K385" s="14"/>
      <c r="L385" s="13"/>
      <c r="M385" s="22"/>
      <c r="N385" s="15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9">
        <v>384.0</v>
      </c>
      <c r="B386" s="10">
        <v>44077.0</v>
      </c>
      <c r="C386" s="9" t="s">
        <v>473</v>
      </c>
      <c r="D386" s="11" t="s">
        <v>850</v>
      </c>
      <c r="E386" s="9">
        <v>9.710521222929E12</v>
      </c>
      <c r="F386" s="12" t="s">
        <v>851</v>
      </c>
      <c r="G386" s="9" t="s">
        <v>80</v>
      </c>
      <c r="H386" s="9" t="s">
        <v>17</v>
      </c>
      <c r="I386" s="13"/>
      <c r="J386" s="13"/>
      <c r="K386" s="14"/>
      <c r="L386" s="13"/>
      <c r="M386" s="14"/>
      <c r="N386" s="15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9">
        <v>385.0</v>
      </c>
      <c r="B387" s="10">
        <v>44076.0</v>
      </c>
      <c r="C387" s="9" t="s">
        <v>781</v>
      </c>
      <c r="D387" s="11" t="s">
        <v>852</v>
      </c>
      <c r="E387" s="17">
        <f>+97105223253885</f>
        <v>97105223253885</v>
      </c>
      <c r="F387" s="12" t="s">
        <v>853</v>
      </c>
      <c r="G387" s="9" t="s">
        <v>57</v>
      </c>
      <c r="H387" s="9" t="s">
        <v>41</v>
      </c>
      <c r="I387" s="13"/>
      <c r="J387" s="13"/>
      <c r="K387" s="14"/>
      <c r="L387" s="13"/>
      <c r="M387" s="14"/>
      <c r="N387" s="15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9">
        <v>386.0</v>
      </c>
      <c r="B388" s="10">
        <v>44076.0</v>
      </c>
      <c r="C388" s="9" t="s">
        <v>150</v>
      </c>
      <c r="D388" s="11" t="s">
        <v>854</v>
      </c>
      <c r="E388" s="9">
        <v>9.710556065334E12</v>
      </c>
      <c r="F388" s="12" t="s">
        <v>855</v>
      </c>
      <c r="G388" s="9" t="s">
        <v>432</v>
      </c>
      <c r="H388" s="9" t="s">
        <v>81</v>
      </c>
      <c r="I388" s="13"/>
      <c r="J388" s="13"/>
      <c r="K388" s="14"/>
      <c r="L388" s="13"/>
      <c r="M388" s="14"/>
      <c r="N388" s="15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9">
        <v>387.0</v>
      </c>
      <c r="B389" s="10">
        <v>44076.0</v>
      </c>
      <c r="C389" s="9" t="s">
        <v>781</v>
      </c>
      <c r="D389" s="11" t="s">
        <v>856</v>
      </c>
      <c r="E389" s="17">
        <f>+9710528610832</f>
        <v>9710528610832</v>
      </c>
      <c r="F389" s="12" t="s">
        <v>857</v>
      </c>
      <c r="G389" s="9" t="s">
        <v>52</v>
      </c>
      <c r="H389" s="9" t="s">
        <v>21</v>
      </c>
      <c r="I389" s="13"/>
      <c r="J389" s="13"/>
      <c r="K389" s="14"/>
      <c r="L389" s="13"/>
      <c r="M389" s="14"/>
      <c r="N389" s="15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9">
        <v>388.0</v>
      </c>
      <c r="B390" s="10">
        <v>44076.0</v>
      </c>
      <c r="C390" s="9" t="s">
        <v>781</v>
      </c>
      <c r="D390" s="11" t="s">
        <v>858</v>
      </c>
      <c r="E390" s="17">
        <f>+971501231981</f>
        <v>971501231981</v>
      </c>
      <c r="F390" s="12" t="s">
        <v>859</v>
      </c>
      <c r="G390" s="9" t="s">
        <v>12</v>
      </c>
      <c r="H390" s="9" t="s">
        <v>13</v>
      </c>
      <c r="I390" s="13"/>
      <c r="J390" s="13"/>
      <c r="K390" s="14"/>
      <c r="L390" s="13"/>
      <c r="M390" s="14"/>
      <c r="N390" s="15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9">
        <v>389.0</v>
      </c>
      <c r="B391" s="10">
        <v>44076.0</v>
      </c>
      <c r="C391" s="9" t="s">
        <v>393</v>
      </c>
      <c r="D391" s="11" t="s">
        <v>860</v>
      </c>
      <c r="E391" s="9">
        <v>9.710506568819E12</v>
      </c>
      <c r="F391" s="12" t="s">
        <v>861</v>
      </c>
      <c r="G391" s="9" t="s">
        <v>176</v>
      </c>
      <c r="H391" s="9" t="s">
        <v>260</v>
      </c>
      <c r="I391" s="13"/>
      <c r="J391" s="13"/>
      <c r="K391" s="14"/>
      <c r="L391" s="13"/>
      <c r="M391" s="14"/>
      <c r="N391" s="15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9">
        <v>390.0</v>
      </c>
      <c r="B392" s="10">
        <v>44076.0</v>
      </c>
      <c r="C392" s="9" t="s">
        <v>150</v>
      </c>
      <c r="D392" s="11" t="s">
        <v>862</v>
      </c>
      <c r="E392" s="9">
        <v>9.710566762688E12</v>
      </c>
      <c r="F392" s="12" t="s">
        <v>863</v>
      </c>
      <c r="G392" s="9" t="s">
        <v>52</v>
      </c>
      <c r="H392" s="9" t="s">
        <v>41</v>
      </c>
      <c r="I392" s="13"/>
      <c r="J392" s="13"/>
      <c r="K392" s="14"/>
      <c r="L392" s="13"/>
      <c r="M392" s="14"/>
      <c r="N392" s="15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9">
        <v>391.0</v>
      </c>
      <c r="B393" s="10">
        <v>44076.0</v>
      </c>
      <c r="C393" s="9" t="s">
        <v>781</v>
      </c>
      <c r="D393" s="11" t="s">
        <v>864</v>
      </c>
      <c r="E393" s="17">
        <f>+971503477587</f>
        <v>971503477587</v>
      </c>
      <c r="F393" s="12" t="s">
        <v>865</v>
      </c>
      <c r="G393" s="9" t="s">
        <v>432</v>
      </c>
      <c r="H393" s="9" t="s">
        <v>260</v>
      </c>
      <c r="I393" s="13"/>
      <c r="J393" s="13"/>
      <c r="K393" s="14"/>
      <c r="L393" s="13"/>
      <c r="M393" s="14"/>
      <c r="N393" s="15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9">
        <v>392.0</v>
      </c>
      <c r="B394" s="10">
        <v>44076.0</v>
      </c>
      <c r="C394" s="9" t="s">
        <v>150</v>
      </c>
      <c r="D394" s="11" t="s">
        <v>866</v>
      </c>
      <c r="E394" s="9">
        <v>9.710522074856E12</v>
      </c>
      <c r="F394" s="12" t="s">
        <v>867</v>
      </c>
      <c r="G394" s="9" t="s">
        <v>80</v>
      </c>
      <c r="H394" s="9" t="s">
        <v>654</v>
      </c>
      <c r="I394" s="13"/>
      <c r="J394" s="13"/>
      <c r="K394" s="14"/>
      <c r="L394" s="13"/>
      <c r="M394" s="14"/>
      <c r="N394" s="15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9">
        <v>393.0</v>
      </c>
      <c r="B395" s="10">
        <v>44076.0</v>
      </c>
      <c r="C395" s="9" t="s">
        <v>393</v>
      </c>
      <c r="D395" s="11" t="s">
        <v>868</v>
      </c>
      <c r="E395" s="9">
        <v>9.71505661289E11</v>
      </c>
      <c r="F395" s="12" t="s">
        <v>869</v>
      </c>
      <c r="G395" s="9" t="s">
        <v>176</v>
      </c>
      <c r="H395" s="9" t="s">
        <v>206</v>
      </c>
      <c r="I395" s="13"/>
      <c r="J395" s="13"/>
      <c r="K395" s="14"/>
      <c r="L395" s="13"/>
      <c r="M395" s="14"/>
      <c r="N395" s="15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9">
        <v>394.0</v>
      </c>
      <c r="B396" s="10">
        <v>44076.0</v>
      </c>
      <c r="C396" s="9" t="s">
        <v>473</v>
      </c>
      <c r="D396" s="11" t="s">
        <v>870</v>
      </c>
      <c r="E396" s="9">
        <v>9.71565961509E11</v>
      </c>
      <c r="F396" s="12" t="s">
        <v>871</v>
      </c>
      <c r="G396" s="9" t="s">
        <v>80</v>
      </c>
      <c r="H396" s="9" t="s">
        <v>81</v>
      </c>
      <c r="I396" s="13"/>
      <c r="J396" s="13"/>
      <c r="K396" s="14"/>
      <c r="L396" s="13"/>
      <c r="M396" s="14"/>
      <c r="N396" s="15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9">
        <v>395.0</v>
      </c>
      <c r="B397" s="10">
        <v>44076.0</v>
      </c>
      <c r="C397" s="9" t="s">
        <v>309</v>
      </c>
      <c r="D397" s="11" t="s">
        <v>872</v>
      </c>
      <c r="E397" s="9">
        <v>9.71507891992E11</v>
      </c>
      <c r="F397" s="12" t="s">
        <v>873</v>
      </c>
      <c r="G397" s="9" t="s">
        <v>176</v>
      </c>
      <c r="H397" s="9" t="s">
        <v>41</v>
      </c>
      <c r="I397" s="13"/>
      <c r="J397" s="13"/>
      <c r="K397" s="14"/>
      <c r="L397" s="13"/>
      <c r="M397" s="14"/>
      <c r="N397" s="15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9">
        <v>396.0</v>
      </c>
      <c r="B398" s="10">
        <v>44076.0</v>
      </c>
      <c r="C398" s="9" t="s">
        <v>781</v>
      </c>
      <c r="D398" s="11" t="s">
        <v>874</v>
      </c>
      <c r="E398" s="17">
        <f>+971506975666</f>
        <v>971506975666</v>
      </c>
      <c r="F398" s="12" t="s">
        <v>875</v>
      </c>
      <c r="G398" s="9" t="s">
        <v>35</v>
      </c>
      <c r="H398" s="9" t="s">
        <v>41</v>
      </c>
      <c r="I398" s="13"/>
      <c r="J398" s="13"/>
      <c r="K398" s="14"/>
      <c r="L398" s="13"/>
      <c r="M398" s="14"/>
      <c r="N398" s="15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9">
        <v>397.0</v>
      </c>
      <c r="B399" s="10">
        <v>44076.0</v>
      </c>
      <c r="C399" s="9" t="s">
        <v>781</v>
      </c>
      <c r="D399" s="11" t="s">
        <v>876</v>
      </c>
      <c r="E399" s="17">
        <f>+9710555149004</f>
        <v>9710555149004</v>
      </c>
      <c r="F399" s="12" t="s">
        <v>877</v>
      </c>
      <c r="G399" s="9" t="s">
        <v>300</v>
      </c>
      <c r="H399" s="9" t="s">
        <v>17</v>
      </c>
      <c r="I399" s="13"/>
      <c r="J399" s="13"/>
      <c r="K399" s="14"/>
      <c r="L399" s="13"/>
      <c r="M399" s="14"/>
      <c r="N399" s="15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9">
        <v>398.0</v>
      </c>
      <c r="B400" s="10">
        <v>44076.0</v>
      </c>
      <c r="C400" s="9" t="s">
        <v>309</v>
      </c>
      <c r="D400" s="11" t="s">
        <v>878</v>
      </c>
      <c r="E400" s="9">
        <v>9.710543856496E12</v>
      </c>
      <c r="F400" s="12" t="s">
        <v>879</v>
      </c>
      <c r="G400" s="9" t="s">
        <v>364</v>
      </c>
      <c r="H400" s="9" t="s">
        <v>21</v>
      </c>
      <c r="I400" s="13"/>
      <c r="J400" s="13"/>
      <c r="K400" s="14"/>
      <c r="L400" s="13"/>
      <c r="M400" s="14"/>
      <c r="N400" s="15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9">
        <v>399.0</v>
      </c>
      <c r="B401" s="18">
        <v>44076.0</v>
      </c>
      <c r="C401" s="19" t="s">
        <v>781</v>
      </c>
      <c r="D401" s="11" t="s">
        <v>880</v>
      </c>
      <c r="E401" s="24">
        <f>+9710551786527</f>
        <v>9710551786527</v>
      </c>
      <c r="F401" s="12" t="s">
        <v>881</v>
      </c>
      <c r="G401" s="19" t="s">
        <v>432</v>
      </c>
      <c r="H401" s="19" t="s">
        <v>81</v>
      </c>
      <c r="I401" s="13"/>
      <c r="J401" s="13"/>
      <c r="K401" s="20"/>
      <c r="L401" s="13"/>
      <c r="M401" s="20"/>
      <c r="N401" s="21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9">
        <v>400.0</v>
      </c>
      <c r="B402" s="10">
        <v>44076.0</v>
      </c>
      <c r="C402" s="9" t="s">
        <v>473</v>
      </c>
      <c r="D402" s="11" t="s">
        <v>84</v>
      </c>
      <c r="E402" s="9">
        <v>9.710521788965E12</v>
      </c>
      <c r="F402" s="12" t="s">
        <v>882</v>
      </c>
      <c r="G402" s="9" t="s">
        <v>80</v>
      </c>
      <c r="H402" s="9" t="s">
        <v>81</v>
      </c>
      <c r="I402" s="13"/>
      <c r="J402" s="13"/>
      <c r="K402" s="14"/>
      <c r="L402" s="13"/>
      <c r="M402" s="14"/>
      <c r="N402" s="15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9">
        <v>401.0</v>
      </c>
      <c r="B403" s="10">
        <v>44076.0</v>
      </c>
      <c r="C403" s="9" t="s">
        <v>473</v>
      </c>
      <c r="D403" s="11" t="s">
        <v>883</v>
      </c>
      <c r="E403" s="9">
        <v>9.71050671672E12</v>
      </c>
      <c r="F403" s="12" t="s">
        <v>884</v>
      </c>
      <c r="G403" s="9" t="s">
        <v>134</v>
      </c>
      <c r="H403" s="9" t="s">
        <v>17</v>
      </c>
      <c r="I403" s="13"/>
      <c r="J403" s="13"/>
      <c r="K403" s="14"/>
      <c r="L403" s="13"/>
      <c r="M403" s="14"/>
      <c r="N403" s="15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9">
        <v>402.0</v>
      </c>
      <c r="B404" s="10">
        <v>44076.0</v>
      </c>
      <c r="C404" s="9" t="s">
        <v>150</v>
      </c>
      <c r="D404" s="11" t="s">
        <v>885</v>
      </c>
      <c r="E404" s="9">
        <v>9.710544884864E12</v>
      </c>
      <c r="F404" s="12" t="s">
        <v>886</v>
      </c>
      <c r="G404" s="9" t="s">
        <v>80</v>
      </c>
      <c r="H404" s="9" t="s">
        <v>81</v>
      </c>
      <c r="I404" s="13"/>
      <c r="J404" s="13"/>
      <c r="K404" s="14"/>
      <c r="L404" s="13"/>
      <c r="M404" s="14"/>
      <c r="N404" s="15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9">
        <v>403.0</v>
      </c>
      <c r="B405" s="10">
        <v>44076.0</v>
      </c>
      <c r="C405" s="9" t="s">
        <v>309</v>
      </c>
      <c r="D405" s="11" t="s">
        <v>887</v>
      </c>
      <c r="E405" s="9">
        <v>9.710565376052E12</v>
      </c>
      <c r="F405" s="12" t="s">
        <v>888</v>
      </c>
      <c r="G405" s="9" t="s">
        <v>176</v>
      </c>
      <c r="H405" s="9" t="s">
        <v>260</v>
      </c>
      <c r="I405" s="13"/>
      <c r="J405" s="13"/>
      <c r="K405" s="14"/>
      <c r="L405" s="13"/>
      <c r="M405" s="14"/>
      <c r="N405" s="15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9">
        <v>404.0</v>
      </c>
      <c r="B406" s="10">
        <v>44076.0</v>
      </c>
      <c r="C406" s="9" t="s">
        <v>150</v>
      </c>
      <c r="D406" s="11" t="s">
        <v>889</v>
      </c>
      <c r="E406" s="9">
        <v>9.710529534372E12</v>
      </c>
      <c r="F406" s="12" t="s">
        <v>890</v>
      </c>
      <c r="G406" s="9" t="s">
        <v>60</v>
      </c>
      <c r="H406" s="9" t="s">
        <v>13</v>
      </c>
      <c r="I406" s="13"/>
      <c r="J406" s="13"/>
      <c r="K406" s="14"/>
      <c r="L406" s="13"/>
      <c r="M406" s="14"/>
      <c r="N406" s="15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9">
        <v>405.0</v>
      </c>
      <c r="B407" s="10">
        <v>44076.0</v>
      </c>
      <c r="C407" s="9" t="s">
        <v>781</v>
      </c>
      <c r="D407" s="11" t="s">
        <v>891</v>
      </c>
      <c r="E407" s="9">
        <v>9.71555314597E11</v>
      </c>
      <c r="F407" s="12" t="s">
        <v>892</v>
      </c>
      <c r="G407" s="9" t="s">
        <v>176</v>
      </c>
      <c r="H407" s="9" t="s">
        <v>81</v>
      </c>
      <c r="I407" s="13"/>
      <c r="J407" s="13"/>
      <c r="K407" s="14"/>
      <c r="L407" s="13"/>
      <c r="M407" s="14"/>
      <c r="N407" s="15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9">
        <v>406.0</v>
      </c>
      <c r="B408" s="10">
        <v>44076.0</v>
      </c>
      <c r="C408" s="9" t="s">
        <v>309</v>
      </c>
      <c r="D408" s="11" t="s">
        <v>893</v>
      </c>
      <c r="E408" s="9">
        <v>9.710527066502E12</v>
      </c>
      <c r="F408" s="12" t="s">
        <v>894</v>
      </c>
      <c r="G408" s="9" t="s">
        <v>57</v>
      </c>
      <c r="H408" s="9" t="s">
        <v>260</v>
      </c>
      <c r="I408" s="13"/>
      <c r="J408" s="13"/>
      <c r="K408" s="14"/>
      <c r="L408" s="13"/>
      <c r="M408" s="14"/>
      <c r="N408" s="15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9">
        <v>407.0</v>
      </c>
      <c r="B409" s="10">
        <v>44076.0</v>
      </c>
      <c r="C409" s="9" t="s">
        <v>309</v>
      </c>
      <c r="D409" s="11" t="s">
        <v>895</v>
      </c>
      <c r="E409" s="9">
        <v>9.710567099583E12</v>
      </c>
      <c r="F409" s="12" t="s">
        <v>896</v>
      </c>
      <c r="G409" s="9" t="s">
        <v>12</v>
      </c>
      <c r="H409" s="9" t="s">
        <v>13</v>
      </c>
      <c r="I409" s="13"/>
      <c r="J409" s="13"/>
      <c r="K409" s="14"/>
      <c r="L409" s="13"/>
      <c r="M409" s="14"/>
      <c r="N409" s="15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9">
        <v>408.0</v>
      </c>
      <c r="B410" s="10">
        <v>44076.0</v>
      </c>
      <c r="C410" s="9" t="s">
        <v>150</v>
      </c>
      <c r="D410" s="11" t="s">
        <v>897</v>
      </c>
      <c r="E410" s="9">
        <v>9.71050502535E12</v>
      </c>
      <c r="F410" s="12" t="s">
        <v>898</v>
      </c>
      <c r="G410" s="9" t="s">
        <v>176</v>
      </c>
      <c r="H410" s="9" t="s">
        <v>17</v>
      </c>
      <c r="I410" s="13"/>
      <c r="J410" s="13"/>
      <c r="K410" s="14"/>
      <c r="L410" s="13"/>
      <c r="M410" s="14"/>
      <c r="N410" s="15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9">
        <v>409.0</v>
      </c>
      <c r="B411" s="10">
        <v>44076.0</v>
      </c>
      <c r="C411" s="9" t="s">
        <v>393</v>
      </c>
      <c r="D411" s="11" t="s">
        <v>899</v>
      </c>
      <c r="E411" s="9">
        <v>9.71054359505E12</v>
      </c>
      <c r="F411" s="12" t="s">
        <v>900</v>
      </c>
      <c r="G411" s="9" t="s">
        <v>20</v>
      </c>
      <c r="H411" s="9" t="s">
        <v>21</v>
      </c>
      <c r="I411" s="13"/>
      <c r="J411" s="13"/>
      <c r="K411" s="14"/>
      <c r="L411" s="13"/>
      <c r="M411" s="14"/>
      <c r="N411" s="15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9">
        <v>410.0</v>
      </c>
      <c r="B412" s="10">
        <v>44076.0</v>
      </c>
      <c r="C412" s="9" t="s">
        <v>150</v>
      </c>
      <c r="D412" s="11" t="s">
        <v>897</v>
      </c>
      <c r="E412" s="9">
        <v>9.71050502535E12</v>
      </c>
      <c r="F412" s="12" t="s">
        <v>898</v>
      </c>
      <c r="G412" s="9" t="s">
        <v>176</v>
      </c>
      <c r="H412" s="9" t="s">
        <v>17</v>
      </c>
      <c r="I412" s="13"/>
      <c r="J412" s="13"/>
      <c r="K412" s="14"/>
      <c r="L412" s="13"/>
      <c r="M412" s="14"/>
      <c r="N412" s="15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9">
        <v>411.0</v>
      </c>
      <c r="B413" s="10">
        <v>44076.0</v>
      </c>
      <c r="C413" s="9" t="s">
        <v>473</v>
      </c>
      <c r="D413" s="11" t="s">
        <v>901</v>
      </c>
      <c r="E413" s="9">
        <v>9.710505370186E12</v>
      </c>
      <c r="F413" s="12" t="s">
        <v>902</v>
      </c>
      <c r="G413" s="9" t="s">
        <v>20</v>
      </c>
      <c r="H413" s="9" t="s">
        <v>21</v>
      </c>
      <c r="I413" s="13"/>
      <c r="J413" s="13"/>
      <c r="K413" s="14"/>
      <c r="L413" s="13"/>
      <c r="M413" s="14"/>
      <c r="N413" s="15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9">
        <v>412.0</v>
      </c>
      <c r="B414" s="10">
        <v>44075.0</v>
      </c>
      <c r="C414" s="9" t="s">
        <v>781</v>
      </c>
      <c r="D414" s="11" t="s">
        <v>903</v>
      </c>
      <c r="E414" s="17">
        <f>+971561752875</f>
        <v>971561752875</v>
      </c>
      <c r="F414" s="12" t="s">
        <v>904</v>
      </c>
      <c r="G414" s="9" t="s">
        <v>80</v>
      </c>
      <c r="H414" s="9" t="s">
        <v>41</v>
      </c>
      <c r="I414" s="13"/>
      <c r="J414" s="13"/>
      <c r="K414" s="14"/>
      <c r="L414" s="13"/>
      <c r="M414" s="14"/>
      <c r="N414" s="15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9">
        <v>413.0</v>
      </c>
      <c r="B415" s="10">
        <v>44075.0</v>
      </c>
      <c r="C415" s="9" t="s">
        <v>781</v>
      </c>
      <c r="D415" s="11" t="s">
        <v>905</v>
      </c>
      <c r="E415" s="17">
        <f>+9710502255861</f>
        <v>9710502255861</v>
      </c>
      <c r="F415" s="12" t="s">
        <v>906</v>
      </c>
      <c r="G415" s="9" t="s">
        <v>80</v>
      </c>
      <c r="H415" s="9" t="s">
        <v>17</v>
      </c>
      <c r="I415" s="13"/>
      <c r="J415" s="13"/>
      <c r="K415" s="14"/>
      <c r="L415" s="13"/>
      <c r="M415" s="14"/>
      <c r="N415" s="15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9">
        <v>414.0</v>
      </c>
      <c r="B416" s="10">
        <v>44075.0</v>
      </c>
      <c r="C416" s="9" t="s">
        <v>150</v>
      </c>
      <c r="D416" s="11" t="s">
        <v>907</v>
      </c>
      <c r="E416" s="9">
        <v>9.71555666037E11</v>
      </c>
      <c r="F416" s="12" t="s">
        <v>908</v>
      </c>
      <c r="G416" s="9" t="s">
        <v>364</v>
      </c>
      <c r="H416" s="9" t="s">
        <v>17</v>
      </c>
      <c r="I416" s="13"/>
      <c r="J416" s="13"/>
      <c r="K416" s="14"/>
      <c r="L416" s="13"/>
      <c r="M416" s="14"/>
      <c r="N416" s="15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9">
        <v>415.0</v>
      </c>
      <c r="B417" s="10">
        <v>44075.0</v>
      </c>
      <c r="C417" s="9" t="s">
        <v>473</v>
      </c>
      <c r="D417" s="16" t="s">
        <v>909</v>
      </c>
      <c r="E417" s="9">
        <v>9.71505100092E11</v>
      </c>
      <c r="F417" s="12" t="s">
        <v>910</v>
      </c>
      <c r="G417" s="9" t="s">
        <v>57</v>
      </c>
      <c r="H417" s="9" t="s">
        <v>41</v>
      </c>
      <c r="I417" s="13"/>
      <c r="J417" s="13"/>
      <c r="K417" s="14"/>
      <c r="L417" s="13"/>
      <c r="M417" s="22"/>
      <c r="N417" s="15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9">
        <v>416.0</v>
      </c>
      <c r="B418" s="10">
        <v>44075.0</v>
      </c>
      <c r="C418" s="9" t="s">
        <v>781</v>
      </c>
      <c r="D418" s="11" t="s">
        <v>911</v>
      </c>
      <c r="E418" s="17">
        <f>+971554158488</f>
        <v>971554158488</v>
      </c>
      <c r="F418" s="12" t="s">
        <v>912</v>
      </c>
      <c r="G418" s="9" t="s">
        <v>364</v>
      </c>
      <c r="H418" s="9" t="s">
        <v>206</v>
      </c>
      <c r="I418" s="13"/>
      <c r="J418" s="13"/>
      <c r="K418" s="14"/>
      <c r="L418" s="13"/>
      <c r="M418" s="14"/>
      <c r="N418" s="15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9">
        <v>417.0</v>
      </c>
      <c r="B419" s="10">
        <v>44075.0</v>
      </c>
      <c r="C419" s="9" t="s">
        <v>781</v>
      </c>
      <c r="D419" s="11" t="s">
        <v>913</v>
      </c>
      <c r="E419" s="17">
        <f>+9710507390155</f>
        <v>9710507390155</v>
      </c>
      <c r="F419" s="12" t="s">
        <v>914</v>
      </c>
      <c r="G419" s="9" t="s">
        <v>176</v>
      </c>
      <c r="H419" s="9" t="s">
        <v>41</v>
      </c>
      <c r="I419" s="13"/>
      <c r="J419" s="13"/>
      <c r="K419" s="14"/>
      <c r="L419" s="13"/>
      <c r="M419" s="14"/>
      <c r="N419" s="15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9">
        <v>418.0</v>
      </c>
      <c r="B420" s="10">
        <v>44075.0</v>
      </c>
      <c r="C420" s="9" t="s">
        <v>781</v>
      </c>
      <c r="D420" s="11" t="s">
        <v>915</v>
      </c>
      <c r="E420" s="17">
        <f>+9710562441129</f>
        <v>9710562441129</v>
      </c>
      <c r="F420" s="12" t="s">
        <v>916</v>
      </c>
      <c r="G420" s="9" t="s">
        <v>80</v>
      </c>
      <c r="H420" s="9" t="s">
        <v>17</v>
      </c>
      <c r="I420" s="13"/>
      <c r="J420" s="13"/>
      <c r="K420" s="14"/>
      <c r="L420" s="13"/>
      <c r="M420" s="14"/>
      <c r="N420" s="15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9">
        <v>419.0</v>
      </c>
      <c r="B421" s="10">
        <v>44075.0</v>
      </c>
      <c r="C421" s="9" t="s">
        <v>781</v>
      </c>
      <c r="D421" s="11" t="s">
        <v>917</v>
      </c>
      <c r="E421" s="17">
        <f>+9710557165153</f>
        <v>9710557165153</v>
      </c>
      <c r="F421" s="12" t="s">
        <v>918</v>
      </c>
      <c r="G421" s="9" t="s">
        <v>96</v>
      </c>
      <c r="H421" s="9" t="s">
        <v>41</v>
      </c>
      <c r="I421" s="13"/>
      <c r="J421" s="13"/>
      <c r="K421" s="14"/>
      <c r="L421" s="13"/>
      <c r="M421" s="14"/>
      <c r="N421" s="15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9">
        <v>420.0</v>
      </c>
      <c r="B422" s="10">
        <v>44075.0</v>
      </c>
      <c r="C422" s="9" t="s">
        <v>781</v>
      </c>
      <c r="D422" s="11" t="s">
        <v>919</v>
      </c>
      <c r="E422" s="17">
        <f>+971555579033</f>
        <v>971555579033</v>
      </c>
      <c r="F422" s="12" t="s">
        <v>920</v>
      </c>
      <c r="G422" s="9" t="s">
        <v>20</v>
      </c>
      <c r="H422" s="9" t="s">
        <v>21</v>
      </c>
      <c r="I422" s="13"/>
      <c r="J422" s="13"/>
      <c r="K422" s="14"/>
      <c r="L422" s="13"/>
      <c r="M422" s="14"/>
      <c r="N422" s="15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9">
        <v>421.0</v>
      </c>
      <c r="B423" s="10">
        <v>44075.0</v>
      </c>
      <c r="C423" s="9" t="s">
        <v>150</v>
      </c>
      <c r="D423" s="11" t="s">
        <v>69</v>
      </c>
      <c r="E423" s="9">
        <v>9.710502430191E12</v>
      </c>
      <c r="F423" s="12" t="s">
        <v>921</v>
      </c>
      <c r="G423" s="9" t="s">
        <v>199</v>
      </c>
      <c r="H423" s="9" t="s">
        <v>13</v>
      </c>
      <c r="I423" s="13"/>
      <c r="J423" s="13"/>
      <c r="K423" s="14"/>
      <c r="L423" s="13"/>
      <c r="M423" s="14"/>
      <c r="N423" s="15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9">
        <v>422.0</v>
      </c>
      <c r="B424" s="10">
        <v>44075.0</v>
      </c>
      <c r="C424" s="9" t="s">
        <v>922</v>
      </c>
      <c r="D424" s="11" t="s">
        <v>923</v>
      </c>
      <c r="E424" s="9">
        <v>9.71506243216E11</v>
      </c>
      <c r="F424" s="12" t="s">
        <v>924</v>
      </c>
      <c r="G424" s="9" t="s">
        <v>16</v>
      </c>
      <c r="H424" s="9" t="s">
        <v>13</v>
      </c>
      <c r="I424" s="13"/>
      <c r="J424" s="13"/>
      <c r="K424" s="14"/>
      <c r="L424" s="13"/>
      <c r="M424" s="14"/>
      <c r="N424" s="15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9">
        <v>423.0</v>
      </c>
      <c r="B425" s="10">
        <v>44075.0</v>
      </c>
      <c r="C425" s="9" t="s">
        <v>781</v>
      </c>
      <c r="D425" s="11" t="s">
        <v>925</v>
      </c>
      <c r="E425" s="17">
        <f>+9710506527481</f>
        <v>9710506527481</v>
      </c>
      <c r="F425" s="12" t="s">
        <v>926</v>
      </c>
      <c r="G425" s="9" t="s">
        <v>176</v>
      </c>
      <c r="H425" s="9" t="s">
        <v>17</v>
      </c>
      <c r="I425" s="13"/>
      <c r="J425" s="13"/>
      <c r="K425" s="14"/>
      <c r="L425" s="13"/>
      <c r="M425" s="14"/>
      <c r="N425" s="15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9">
        <v>424.0</v>
      </c>
      <c r="B426" s="10">
        <v>44075.0</v>
      </c>
      <c r="C426" s="9" t="s">
        <v>781</v>
      </c>
      <c r="D426" s="11" t="s">
        <v>927</v>
      </c>
      <c r="E426" s="17">
        <f>+971554887134</f>
        <v>971554887134</v>
      </c>
      <c r="F426" s="12" t="s">
        <v>928</v>
      </c>
      <c r="G426" s="9" t="s">
        <v>20</v>
      </c>
      <c r="H426" s="9" t="s">
        <v>13</v>
      </c>
      <c r="I426" s="13"/>
      <c r="J426" s="13"/>
      <c r="K426" s="14"/>
      <c r="L426" s="13"/>
      <c r="M426" s="14"/>
      <c r="N426" s="15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9">
        <v>425.0</v>
      </c>
      <c r="B427" s="10">
        <v>44075.0</v>
      </c>
      <c r="C427" s="9" t="s">
        <v>309</v>
      </c>
      <c r="D427" s="11" t="s">
        <v>929</v>
      </c>
      <c r="E427" s="9">
        <v>9.710501515525E12</v>
      </c>
      <c r="F427" s="12" t="s">
        <v>930</v>
      </c>
      <c r="G427" s="9" t="s">
        <v>134</v>
      </c>
      <c r="H427" s="9" t="s">
        <v>337</v>
      </c>
      <c r="I427" s="13"/>
      <c r="J427" s="13"/>
      <c r="K427" s="14"/>
      <c r="L427" s="13"/>
      <c r="M427" s="14"/>
      <c r="N427" s="15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9">
        <v>426.0</v>
      </c>
      <c r="B428" s="10">
        <v>44075.0</v>
      </c>
      <c r="C428" s="9" t="s">
        <v>781</v>
      </c>
      <c r="D428" s="11" t="s">
        <v>931</v>
      </c>
      <c r="E428" s="17">
        <f>+971566035774</f>
        <v>971566035774</v>
      </c>
      <c r="F428" s="12" t="s">
        <v>932</v>
      </c>
      <c r="G428" s="9" t="s">
        <v>249</v>
      </c>
      <c r="H428" s="9" t="s">
        <v>73</v>
      </c>
      <c r="I428" s="13"/>
      <c r="J428" s="13"/>
      <c r="K428" s="14"/>
      <c r="L428" s="13"/>
      <c r="M428" s="14"/>
      <c r="N428" s="15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9">
        <v>427.0</v>
      </c>
      <c r="B429" s="10">
        <v>44075.0</v>
      </c>
      <c r="C429" s="9" t="s">
        <v>781</v>
      </c>
      <c r="D429" s="11" t="s">
        <v>933</v>
      </c>
      <c r="E429" s="17">
        <f>+971557439369</f>
        <v>971557439369</v>
      </c>
      <c r="F429" s="12" t="s">
        <v>934</v>
      </c>
      <c r="G429" s="9" t="s">
        <v>20</v>
      </c>
      <c r="H429" s="9" t="s">
        <v>13</v>
      </c>
      <c r="I429" s="13"/>
      <c r="J429" s="13"/>
      <c r="K429" s="14"/>
      <c r="L429" s="13"/>
      <c r="M429" s="14"/>
      <c r="N429" s="15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9">
        <v>428.0</v>
      </c>
      <c r="B430" s="10">
        <v>44075.0</v>
      </c>
      <c r="C430" s="9" t="s">
        <v>309</v>
      </c>
      <c r="D430" s="11" t="s">
        <v>935</v>
      </c>
      <c r="E430" s="9">
        <v>9.71588911091E11</v>
      </c>
      <c r="F430" s="12" t="s">
        <v>936</v>
      </c>
      <c r="G430" s="9" t="s">
        <v>134</v>
      </c>
      <c r="H430" s="9" t="s">
        <v>337</v>
      </c>
      <c r="I430" s="13"/>
      <c r="J430" s="13"/>
      <c r="K430" s="14"/>
      <c r="L430" s="13"/>
      <c r="M430" s="14"/>
      <c r="N430" s="15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9">
        <v>429.0</v>
      </c>
      <c r="B431" s="10">
        <v>44075.0</v>
      </c>
      <c r="C431" s="9" t="s">
        <v>309</v>
      </c>
      <c r="D431" s="11" t="s">
        <v>937</v>
      </c>
      <c r="E431" s="9">
        <v>9.71055543757E12</v>
      </c>
      <c r="F431" s="12" t="s">
        <v>938</v>
      </c>
      <c r="G431" s="9" t="s">
        <v>364</v>
      </c>
      <c r="H431" s="9" t="s">
        <v>17</v>
      </c>
      <c r="I431" s="13"/>
      <c r="J431" s="13"/>
      <c r="K431" s="14"/>
      <c r="L431" s="13"/>
      <c r="M431" s="14"/>
      <c r="N431" s="15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9">
        <v>430.0</v>
      </c>
      <c r="B432" s="10">
        <v>44075.0</v>
      </c>
      <c r="C432" s="9" t="s">
        <v>309</v>
      </c>
      <c r="D432" s="11" t="s">
        <v>939</v>
      </c>
      <c r="E432" s="9">
        <v>9.710561141151E12</v>
      </c>
      <c r="F432" s="12" t="s">
        <v>940</v>
      </c>
      <c r="G432" s="9" t="s">
        <v>12</v>
      </c>
      <c r="H432" s="9" t="s">
        <v>13</v>
      </c>
      <c r="I432" s="13"/>
      <c r="J432" s="13"/>
      <c r="K432" s="14"/>
      <c r="L432" s="13"/>
      <c r="M432" s="14"/>
      <c r="N432" s="15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9">
        <v>431.0</v>
      </c>
      <c r="B433" s="10">
        <v>44075.0</v>
      </c>
      <c r="C433" s="9" t="s">
        <v>150</v>
      </c>
      <c r="D433" s="11" t="s">
        <v>941</v>
      </c>
      <c r="E433" s="9">
        <v>9.710504357392E12</v>
      </c>
      <c r="F433" s="12" t="s">
        <v>942</v>
      </c>
      <c r="G433" s="9" t="s">
        <v>60</v>
      </c>
      <c r="H433" s="9" t="s">
        <v>13</v>
      </c>
      <c r="I433" s="13"/>
      <c r="J433" s="13"/>
      <c r="K433" s="14"/>
      <c r="L433" s="13"/>
      <c r="M433" s="14"/>
      <c r="N433" s="15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9">
        <v>432.0</v>
      </c>
      <c r="B434" s="10">
        <v>44075.0</v>
      </c>
      <c r="C434" s="9" t="s">
        <v>309</v>
      </c>
      <c r="D434" s="11" t="s">
        <v>943</v>
      </c>
      <c r="E434" s="9">
        <v>9.71551032702E11</v>
      </c>
      <c r="F434" s="12" t="s">
        <v>944</v>
      </c>
      <c r="G434" s="9" t="s">
        <v>138</v>
      </c>
      <c r="H434" s="9" t="s">
        <v>17</v>
      </c>
      <c r="I434" s="13"/>
      <c r="J434" s="13"/>
      <c r="K434" s="14"/>
      <c r="L434" s="13"/>
      <c r="M434" s="14"/>
      <c r="N434" s="15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9">
        <v>433.0</v>
      </c>
      <c r="B435" s="10">
        <v>44075.0</v>
      </c>
      <c r="C435" s="9" t="s">
        <v>309</v>
      </c>
      <c r="D435" s="16" t="s">
        <v>945</v>
      </c>
      <c r="E435" s="9">
        <v>9.710565434945E12</v>
      </c>
      <c r="F435" s="12" t="s">
        <v>946</v>
      </c>
      <c r="G435" s="9" t="s">
        <v>57</v>
      </c>
      <c r="H435" s="9" t="s">
        <v>17</v>
      </c>
      <c r="I435" s="13"/>
      <c r="J435" s="13"/>
      <c r="K435" s="14"/>
      <c r="L435" s="13"/>
      <c r="M435" s="22"/>
      <c r="N435" s="15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9">
        <v>434.0</v>
      </c>
      <c r="B436" s="10">
        <v>44075.0</v>
      </c>
      <c r="C436" s="9" t="s">
        <v>150</v>
      </c>
      <c r="D436" s="11" t="s">
        <v>947</v>
      </c>
      <c r="E436" s="9">
        <v>9.710502893429E12</v>
      </c>
      <c r="F436" s="12" t="s">
        <v>948</v>
      </c>
      <c r="G436" s="9" t="s">
        <v>12</v>
      </c>
      <c r="H436" s="9" t="s">
        <v>13</v>
      </c>
      <c r="I436" s="13"/>
      <c r="J436" s="13"/>
      <c r="K436" s="14"/>
      <c r="L436" s="13"/>
      <c r="M436" s="14"/>
      <c r="N436" s="15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9">
        <v>435.0</v>
      </c>
      <c r="B437" s="10">
        <v>44075.0</v>
      </c>
      <c r="C437" s="9" t="s">
        <v>150</v>
      </c>
      <c r="D437" s="11" t="s">
        <v>949</v>
      </c>
      <c r="E437" s="9">
        <v>9.710555188258E12</v>
      </c>
      <c r="F437" s="12" t="s">
        <v>950</v>
      </c>
      <c r="G437" s="9" t="s">
        <v>176</v>
      </c>
      <c r="H437" s="9" t="s">
        <v>206</v>
      </c>
      <c r="I437" s="13"/>
      <c r="J437" s="13"/>
      <c r="K437" s="14"/>
      <c r="L437" s="13"/>
      <c r="M437" s="14"/>
      <c r="N437" s="15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9">
        <v>436.0</v>
      </c>
      <c r="B438" s="10">
        <v>44075.0</v>
      </c>
      <c r="C438" s="9" t="s">
        <v>393</v>
      </c>
      <c r="D438" s="16" t="s">
        <v>951</v>
      </c>
      <c r="E438" s="9">
        <v>9.710507123788E12</v>
      </c>
      <c r="F438" s="12" t="s">
        <v>952</v>
      </c>
      <c r="G438" s="9" t="s">
        <v>80</v>
      </c>
      <c r="H438" s="9" t="s">
        <v>81</v>
      </c>
      <c r="I438" s="13"/>
      <c r="J438" s="13"/>
      <c r="K438" s="14"/>
      <c r="L438" s="13"/>
      <c r="M438" s="22"/>
      <c r="N438" s="15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9">
        <v>437.0</v>
      </c>
      <c r="B439" s="10">
        <v>44075.0</v>
      </c>
      <c r="C439" s="9" t="s">
        <v>393</v>
      </c>
      <c r="D439" s="11" t="s">
        <v>953</v>
      </c>
      <c r="E439" s="9">
        <v>9.71503588171E11</v>
      </c>
      <c r="F439" s="12" t="s">
        <v>954</v>
      </c>
      <c r="G439" s="9" t="s">
        <v>176</v>
      </c>
      <c r="H439" s="9" t="s">
        <v>17</v>
      </c>
      <c r="I439" s="13"/>
      <c r="J439" s="13"/>
      <c r="K439" s="14"/>
      <c r="L439" s="13"/>
      <c r="M439" s="14"/>
      <c r="N439" s="15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9">
        <v>438.0</v>
      </c>
      <c r="B440" s="10">
        <v>44075.0</v>
      </c>
      <c r="C440" s="9" t="s">
        <v>473</v>
      </c>
      <c r="D440" s="11" t="s">
        <v>955</v>
      </c>
      <c r="E440" s="9">
        <v>9.710505108646E12</v>
      </c>
      <c r="F440" s="12" t="s">
        <v>956</v>
      </c>
      <c r="G440" s="9" t="s">
        <v>20</v>
      </c>
      <c r="H440" s="9" t="s">
        <v>13</v>
      </c>
      <c r="I440" s="13"/>
      <c r="J440" s="13"/>
      <c r="K440" s="14"/>
      <c r="L440" s="13"/>
      <c r="M440" s="14"/>
      <c r="N440" s="15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9">
        <v>439.0</v>
      </c>
      <c r="B441" s="10">
        <v>44074.0</v>
      </c>
      <c r="C441" s="9" t="s">
        <v>309</v>
      </c>
      <c r="D441" s="11" t="s">
        <v>957</v>
      </c>
      <c r="E441" s="9">
        <v>9.71501462043E11</v>
      </c>
      <c r="F441" s="12" t="s">
        <v>958</v>
      </c>
      <c r="G441" s="9" t="s">
        <v>300</v>
      </c>
      <c r="H441" s="9" t="s">
        <v>17</v>
      </c>
      <c r="I441" s="13"/>
      <c r="J441" s="13"/>
      <c r="K441" s="14"/>
      <c r="L441" s="13"/>
      <c r="M441" s="14"/>
      <c r="N441" s="15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9">
        <v>440.0</v>
      </c>
      <c r="B442" s="10">
        <v>44074.0</v>
      </c>
      <c r="C442" s="9" t="s">
        <v>309</v>
      </c>
      <c r="D442" s="11" t="s">
        <v>959</v>
      </c>
      <c r="E442" s="9">
        <v>9.71556608371E11</v>
      </c>
      <c r="F442" s="12" t="s">
        <v>960</v>
      </c>
      <c r="G442" s="9" t="s">
        <v>184</v>
      </c>
      <c r="H442" s="9" t="s">
        <v>385</v>
      </c>
      <c r="I442" s="13"/>
      <c r="J442" s="13"/>
      <c r="K442" s="14"/>
      <c r="L442" s="13"/>
      <c r="M442" s="14"/>
      <c r="N442" s="15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9">
        <v>441.0</v>
      </c>
      <c r="B443" s="10">
        <v>44074.0</v>
      </c>
      <c r="C443" s="9" t="s">
        <v>309</v>
      </c>
      <c r="D443" s="16" t="s">
        <v>961</v>
      </c>
      <c r="E443" s="9">
        <v>9.71050654366E12</v>
      </c>
      <c r="F443" s="12" t="s">
        <v>962</v>
      </c>
      <c r="G443" s="9" t="s">
        <v>176</v>
      </c>
      <c r="H443" s="9" t="s">
        <v>206</v>
      </c>
      <c r="I443" s="13"/>
      <c r="J443" s="13"/>
      <c r="K443" s="14"/>
      <c r="L443" s="13"/>
      <c r="M443" s="22"/>
      <c r="N443" s="15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9">
        <v>442.0</v>
      </c>
      <c r="B444" s="10">
        <v>44074.0</v>
      </c>
      <c r="C444" s="9" t="s">
        <v>309</v>
      </c>
      <c r="D444" s="11" t="s">
        <v>963</v>
      </c>
      <c r="E444" s="9">
        <v>9.710555009959E12</v>
      </c>
      <c r="F444" s="12" t="s">
        <v>964</v>
      </c>
      <c r="G444" s="9" t="s">
        <v>199</v>
      </c>
      <c r="H444" s="9" t="s">
        <v>17</v>
      </c>
      <c r="I444" s="13"/>
      <c r="J444" s="13"/>
      <c r="K444" s="14"/>
      <c r="L444" s="13"/>
      <c r="M444" s="14"/>
      <c r="N444" s="15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9">
        <v>443.0</v>
      </c>
      <c r="B445" s="10">
        <v>44074.0</v>
      </c>
      <c r="C445" s="9" t="s">
        <v>309</v>
      </c>
      <c r="D445" s="16" t="s">
        <v>965</v>
      </c>
      <c r="E445" s="9">
        <v>9.710559644424E12</v>
      </c>
      <c r="F445" s="12" t="s">
        <v>966</v>
      </c>
      <c r="G445" s="9" t="s">
        <v>20</v>
      </c>
      <c r="H445" s="9" t="s">
        <v>13</v>
      </c>
      <c r="I445" s="13"/>
      <c r="J445" s="13"/>
      <c r="K445" s="14"/>
      <c r="L445" s="13"/>
      <c r="M445" s="22"/>
      <c r="N445" s="15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9">
        <v>444.0</v>
      </c>
      <c r="B446" s="10">
        <v>44074.0</v>
      </c>
      <c r="C446" s="9" t="s">
        <v>309</v>
      </c>
      <c r="D446" s="11" t="s">
        <v>967</v>
      </c>
      <c r="E446" s="9">
        <v>9.710547924749E12</v>
      </c>
      <c r="F446" s="12" t="s">
        <v>968</v>
      </c>
      <c r="G446" s="9" t="s">
        <v>16</v>
      </c>
      <c r="H446" s="9" t="s">
        <v>13</v>
      </c>
      <c r="I446" s="13"/>
      <c r="J446" s="13"/>
      <c r="K446" s="14"/>
      <c r="L446" s="13"/>
      <c r="M446" s="14"/>
      <c r="N446" s="15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9">
        <v>445.0</v>
      </c>
      <c r="B447" s="10">
        <v>44074.0</v>
      </c>
      <c r="C447" s="9" t="s">
        <v>309</v>
      </c>
      <c r="D447" s="11" t="s">
        <v>969</v>
      </c>
      <c r="E447" s="9">
        <v>9.710555050182E12</v>
      </c>
      <c r="F447" s="12" t="s">
        <v>970</v>
      </c>
      <c r="G447" s="9" t="s">
        <v>432</v>
      </c>
      <c r="H447" s="9" t="s">
        <v>81</v>
      </c>
      <c r="I447" s="13"/>
      <c r="J447" s="13"/>
      <c r="K447" s="14"/>
      <c r="L447" s="13"/>
      <c r="M447" s="14"/>
      <c r="N447" s="15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9">
        <v>446.0</v>
      </c>
      <c r="B448" s="10">
        <v>44074.0</v>
      </c>
      <c r="C448" s="9" t="s">
        <v>309</v>
      </c>
      <c r="D448" s="11" t="s">
        <v>971</v>
      </c>
      <c r="E448" s="9">
        <v>9.71521354235E11</v>
      </c>
      <c r="F448" s="12" t="s">
        <v>972</v>
      </c>
      <c r="G448" s="9" t="s">
        <v>96</v>
      </c>
      <c r="H448" s="9" t="s">
        <v>17</v>
      </c>
      <c r="I448" s="13"/>
      <c r="J448" s="13"/>
      <c r="K448" s="14"/>
      <c r="L448" s="13"/>
      <c r="M448" s="14"/>
      <c r="N448" s="15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9">
        <v>447.0</v>
      </c>
      <c r="B449" s="10">
        <v>44074.0</v>
      </c>
      <c r="C449" s="9" t="s">
        <v>309</v>
      </c>
      <c r="D449" s="11" t="s">
        <v>973</v>
      </c>
      <c r="E449" s="9">
        <v>9.71552383283E11</v>
      </c>
      <c r="F449" s="12" t="s">
        <v>974</v>
      </c>
      <c r="G449" s="9" t="s">
        <v>80</v>
      </c>
      <c r="H449" s="9" t="s">
        <v>81</v>
      </c>
      <c r="I449" s="13"/>
      <c r="J449" s="13"/>
      <c r="K449" s="14"/>
      <c r="L449" s="13"/>
      <c r="M449" s="14"/>
      <c r="N449" s="15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9">
        <v>448.0</v>
      </c>
      <c r="B450" s="10">
        <v>44074.0</v>
      </c>
      <c r="C450" s="9" t="s">
        <v>309</v>
      </c>
      <c r="D450" s="11" t="s">
        <v>975</v>
      </c>
      <c r="E450" s="9">
        <v>9.710567183747E12</v>
      </c>
      <c r="F450" s="12" t="s">
        <v>976</v>
      </c>
      <c r="G450" s="9" t="s">
        <v>20</v>
      </c>
      <c r="H450" s="9" t="s">
        <v>13</v>
      </c>
      <c r="I450" s="13"/>
      <c r="J450" s="13"/>
      <c r="K450" s="14"/>
      <c r="L450" s="13"/>
      <c r="M450" s="14"/>
      <c r="N450" s="15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9">
        <v>449.0</v>
      </c>
      <c r="B451" s="10">
        <v>44074.0</v>
      </c>
      <c r="C451" s="9" t="s">
        <v>393</v>
      </c>
      <c r="D451" s="11" t="s">
        <v>977</v>
      </c>
      <c r="E451" s="9">
        <v>9.710551078652E12</v>
      </c>
      <c r="F451" s="12" t="s">
        <v>978</v>
      </c>
      <c r="G451" s="9" t="s">
        <v>35</v>
      </c>
      <c r="H451" s="9" t="s">
        <v>206</v>
      </c>
      <c r="I451" s="13"/>
      <c r="J451" s="13"/>
      <c r="K451" s="14"/>
      <c r="L451" s="13"/>
      <c r="M451" s="14"/>
      <c r="N451" s="15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9">
        <v>450.0</v>
      </c>
      <c r="B452" s="10">
        <v>44074.0</v>
      </c>
      <c r="C452" s="9" t="s">
        <v>393</v>
      </c>
      <c r="D452" s="11" t="s">
        <v>979</v>
      </c>
      <c r="E452" s="9">
        <v>9.710566798899E12</v>
      </c>
      <c r="F452" s="12" t="s">
        <v>980</v>
      </c>
      <c r="G452" s="9" t="s">
        <v>80</v>
      </c>
      <c r="H452" s="9" t="s">
        <v>17</v>
      </c>
      <c r="I452" s="13"/>
      <c r="J452" s="13"/>
      <c r="K452" s="14"/>
      <c r="L452" s="13"/>
      <c r="M452" s="14"/>
      <c r="N452" s="15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9">
        <v>451.0</v>
      </c>
      <c r="B453" s="10">
        <v>44073.0</v>
      </c>
      <c r="C453" s="9" t="s">
        <v>393</v>
      </c>
      <c r="D453" s="11" t="s">
        <v>981</v>
      </c>
      <c r="E453" s="9">
        <v>9.71050398221E12</v>
      </c>
      <c r="F453" s="12" t="s">
        <v>982</v>
      </c>
      <c r="G453" s="9" t="s">
        <v>176</v>
      </c>
      <c r="H453" s="9" t="s">
        <v>17</v>
      </c>
      <c r="I453" s="13"/>
      <c r="J453" s="13"/>
      <c r="K453" s="14"/>
      <c r="L453" s="13"/>
      <c r="M453" s="14"/>
      <c r="N453" s="15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9">
        <v>452.0</v>
      </c>
      <c r="B454" s="10">
        <v>44073.0</v>
      </c>
      <c r="C454" s="9" t="s">
        <v>393</v>
      </c>
      <c r="D454" s="11" t="s">
        <v>983</v>
      </c>
      <c r="E454" s="9">
        <v>9.71563101353E11</v>
      </c>
      <c r="F454" s="12" t="s">
        <v>984</v>
      </c>
      <c r="G454" s="9" t="s">
        <v>80</v>
      </c>
      <c r="H454" s="9" t="s">
        <v>41</v>
      </c>
      <c r="I454" s="13"/>
      <c r="J454" s="13"/>
      <c r="K454" s="14"/>
      <c r="L454" s="13"/>
      <c r="M454" s="14"/>
      <c r="N454" s="15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9">
        <v>453.0</v>
      </c>
      <c r="B455" s="10">
        <v>44073.0</v>
      </c>
      <c r="C455" s="9" t="s">
        <v>393</v>
      </c>
      <c r="D455" s="11" t="s">
        <v>58</v>
      </c>
      <c r="E455" s="9">
        <v>9.71506555355E11</v>
      </c>
      <c r="F455" s="12" t="s">
        <v>985</v>
      </c>
      <c r="G455" s="9" t="s">
        <v>96</v>
      </c>
      <c r="H455" s="9" t="s">
        <v>73</v>
      </c>
      <c r="I455" s="13"/>
      <c r="J455" s="13"/>
      <c r="K455" s="14"/>
      <c r="L455" s="13"/>
      <c r="M455" s="14"/>
      <c r="N455" s="15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9">
        <v>454.0</v>
      </c>
      <c r="B456" s="10">
        <v>44073.0</v>
      </c>
      <c r="C456" s="9" t="s">
        <v>393</v>
      </c>
      <c r="D456" s="11" t="s">
        <v>986</v>
      </c>
      <c r="E456" s="9">
        <v>9.66504807612E11</v>
      </c>
      <c r="F456" s="12" t="s">
        <v>987</v>
      </c>
      <c r="G456" s="9" t="s">
        <v>25</v>
      </c>
      <c r="H456" s="9" t="s">
        <v>13</v>
      </c>
      <c r="I456" s="13"/>
      <c r="J456" s="13"/>
      <c r="K456" s="14"/>
      <c r="L456" s="13"/>
      <c r="M456" s="14"/>
      <c r="N456" s="15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9">
        <v>455.0</v>
      </c>
      <c r="B457" s="10">
        <v>44073.0</v>
      </c>
      <c r="C457" s="9" t="s">
        <v>309</v>
      </c>
      <c r="D457" s="11" t="s">
        <v>988</v>
      </c>
      <c r="E457" s="9">
        <v>9.710503302722E12</v>
      </c>
      <c r="F457" s="12" t="s">
        <v>989</v>
      </c>
      <c r="G457" s="9" t="s">
        <v>80</v>
      </c>
      <c r="H457" s="9" t="s">
        <v>41</v>
      </c>
      <c r="I457" s="13"/>
      <c r="J457" s="13"/>
      <c r="K457" s="14"/>
      <c r="L457" s="13"/>
      <c r="M457" s="14"/>
      <c r="N457" s="15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9">
        <v>456.0</v>
      </c>
      <c r="B458" s="10">
        <v>44073.0</v>
      </c>
      <c r="C458" s="9" t="s">
        <v>473</v>
      </c>
      <c r="D458" s="11" t="s">
        <v>990</v>
      </c>
      <c r="E458" s="9">
        <v>9.710503342983E12</v>
      </c>
      <c r="F458" s="12" t="s">
        <v>991</v>
      </c>
      <c r="G458" s="9" t="s">
        <v>176</v>
      </c>
      <c r="H458" s="9" t="s">
        <v>81</v>
      </c>
      <c r="I458" s="13"/>
      <c r="J458" s="13"/>
      <c r="K458" s="14"/>
      <c r="L458" s="13"/>
      <c r="M458" s="14"/>
      <c r="N458" s="15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9">
        <v>457.0</v>
      </c>
      <c r="B459" s="10">
        <v>44073.0</v>
      </c>
      <c r="C459" s="9" t="s">
        <v>309</v>
      </c>
      <c r="D459" s="11" t="s">
        <v>992</v>
      </c>
      <c r="E459" s="9">
        <v>9.71045792392E11</v>
      </c>
      <c r="F459" s="12" t="s">
        <v>993</v>
      </c>
      <c r="G459" s="9" t="s">
        <v>400</v>
      </c>
      <c r="H459" s="9" t="s">
        <v>17</v>
      </c>
      <c r="I459" s="13"/>
      <c r="J459" s="13"/>
      <c r="K459" s="14"/>
      <c r="L459" s="13"/>
      <c r="M459" s="14"/>
      <c r="N459" s="15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9">
        <v>458.0</v>
      </c>
      <c r="B460" s="10">
        <v>44073.0</v>
      </c>
      <c r="C460" s="9" t="s">
        <v>393</v>
      </c>
      <c r="D460" s="11" t="s">
        <v>994</v>
      </c>
      <c r="E460" s="9">
        <v>9.71521833374E11</v>
      </c>
      <c r="F460" s="12" t="s">
        <v>995</v>
      </c>
      <c r="G460" s="9" t="s">
        <v>60</v>
      </c>
      <c r="H460" s="9" t="s">
        <v>13</v>
      </c>
      <c r="I460" s="13"/>
      <c r="J460" s="13"/>
      <c r="K460" s="14"/>
      <c r="L460" s="13"/>
      <c r="M460" s="14"/>
      <c r="N460" s="15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9">
        <v>459.0</v>
      </c>
      <c r="B461" s="10">
        <v>44073.0</v>
      </c>
      <c r="C461" s="9" t="s">
        <v>393</v>
      </c>
      <c r="D461" s="11" t="s">
        <v>996</v>
      </c>
      <c r="E461" s="9">
        <v>9.71526333341E11</v>
      </c>
      <c r="F461" s="12" t="s">
        <v>997</v>
      </c>
      <c r="G461" s="9" t="s">
        <v>96</v>
      </c>
      <c r="H461" s="9" t="s">
        <v>17</v>
      </c>
      <c r="I461" s="13"/>
      <c r="J461" s="13"/>
      <c r="K461" s="14"/>
      <c r="L461" s="13"/>
      <c r="M461" s="14"/>
      <c r="N461" s="15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9">
        <v>460.0</v>
      </c>
      <c r="B462" s="10">
        <v>44073.0</v>
      </c>
      <c r="C462" s="9" t="s">
        <v>998</v>
      </c>
      <c r="D462" s="11" t="s">
        <v>999</v>
      </c>
      <c r="E462" s="9">
        <v>9.71521255091E11</v>
      </c>
      <c r="F462" s="12" t="s">
        <v>1000</v>
      </c>
      <c r="G462" s="9" t="s">
        <v>80</v>
      </c>
      <c r="H462" s="9" t="s">
        <v>17</v>
      </c>
      <c r="I462" s="13"/>
      <c r="J462" s="13"/>
      <c r="K462" s="14"/>
      <c r="L462" s="13"/>
      <c r="M462" s="14"/>
      <c r="N462" s="15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9">
        <v>461.0</v>
      </c>
      <c r="B463" s="10">
        <v>44073.0</v>
      </c>
      <c r="C463" s="9" t="s">
        <v>309</v>
      </c>
      <c r="D463" s="11" t="s">
        <v>1001</v>
      </c>
      <c r="E463" s="9">
        <v>9.710504845845E12</v>
      </c>
      <c r="F463" s="12" t="s">
        <v>1002</v>
      </c>
      <c r="G463" s="9" t="s">
        <v>364</v>
      </c>
      <c r="H463" s="9" t="s">
        <v>21</v>
      </c>
      <c r="I463" s="13"/>
      <c r="J463" s="13"/>
      <c r="K463" s="14"/>
      <c r="L463" s="13"/>
      <c r="M463" s="14"/>
      <c r="N463" s="15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9">
        <v>462.0</v>
      </c>
      <c r="B464" s="10">
        <v>44073.0</v>
      </c>
      <c r="C464" s="9" t="s">
        <v>393</v>
      </c>
      <c r="D464" s="11" t="s">
        <v>1003</v>
      </c>
      <c r="E464" s="9">
        <v>9.71555390939E11</v>
      </c>
      <c r="F464" s="12" t="s">
        <v>1004</v>
      </c>
      <c r="G464" s="9" t="s">
        <v>176</v>
      </c>
      <c r="H464" s="9" t="s">
        <v>41</v>
      </c>
      <c r="I464" s="13"/>
      <c r="J464" s="13"/>
      <c r="K464" s="14"/>
      <c r="L464" s="13"/>
      <c r="M464" s="14"/>
      <c r="N464" s="15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9">
        <v>463.0</v>
      </c>
      <c r="B465" s="10">
        <v>44073.0</v>
      </c>
      <c r="C465" s="9" t="s">
        <v>393</v>
      </c>
      <c r="D465" s="11" t="s">
        <v>1005</v>
      </c>
      <c r="E465" s="9">
        <v>9.710503560089E12</v>
      </c>
      <c r="F465" s="12" t="s">
        <v>1006</v>
      </c>
      <c r="G465" s="9" t="s">
        <v>176</v>
      </c>
      <c r="H465" s="9" t="s">
        <v>17</v>
      </c>
      <c r="I465" s="13"/>
      <c r="J465" s="13"/>
      <c r="K465" s="14"/>
      <c r="L465" s="13"/>
      <c r="M465" s="14"/>
      <c r="N465" s="15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9">
        <v>464.0</v>
      </c>
      <c r="B466" s="10">
        <v>44073.0</v>
      </c>
      <c r="C466" s="9" t="s">
        <v>309</v>
      </c>
      <c r="D466" s="11" t="s">
        <v>1007</v>
      </c>
      <c r="E466" s="9">
        <v>9.710557639225E12</v>
      </c>
      <c r="F466" s="12" t="s">
        <v>1008</v>
      </c>
      <c r="G466" s="9" t="s">
        <v>60</v>
      </c>
      <c r="H466" s="9" t="s">
        <v>13</v>
      </c>
      <c r="I466" s="13"/>
      <c r="J466" s="13"/>
      <c r="K466" s="14"/>
      <c r="L466" s="13"/>
      <c r="M466" s="14"/>
      <c r="N466" s="15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9">
        <v>465.0</v>
      </c>
      <c r="B467" s="10">
        <v>44073.0</v>
      </c>
      <c r="C467" s="9" t="s">
        <v>393</v>
      </c>
      <c r="D467" s="11" t="s">
        <v>1009</v>
      </c>
      <c r="E467" s="9">
        <v>9.710506568987E12</v>
      </c>
      <c r="F467" s="12" t="s">
        <v>1010</v>
      </c>
      <c r="G467" s="9" t="s">
        <v>96</v>
      </c>
      <c r="H467" s="9" t="s">
        <v>17</v>
      </c>
      <c r="I467" s="13"/>
      <c r="J467" s="13"/>
      <c r="K467" s="14"/>
      <c r="L467" s="13"/>
      <c r="M467" s="14"/>
      <c r="N467" s="15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9">
        <v>466.0</v>
      </c>
      <c r="B468" s="10">
        <v>44073.0</v>
      </c>
      <c r="C468" s="9" t="s">
        <v>309</v>
      </c>
      <c r="D468" s="11" t="s">
        <v>1011</v>
      </c>
      <c r="E468" s="9">
        <v>9.71528999191E11</v>
      </c>
      <c r="F468" s="12" t="s">
        <v>1012</v>
      </c>
      <c r="G468" s="9" t="s">
        <v>300</v>
      </c>
      <c r="H468" s="9" t="s">
        <v>17</v>
      </c>
      <c r="I468" s="13"/>
      <c r="J468" s="13"/>
      <c r="K468" s="14"/>
      <c r="L468" s="13"/>
      <c r="M468" s="14"/>
      <c r="N468" s="15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9">
        <v>467.0</v>
      </c>
      <c r="B469" s="10">
        <v>44073.0</v>
      </c>
      <c r="C469" s="9" t="s">
        <v>309</v>
      </c>
      <c r="D469" s="16" t="s">
        <v>1013</v>
      </c>
      <c r="E469" s="9">
        <v>9.710527798949E12</v>
      </c>
      <c r="F469" s="12" t="s">
        <v>1014</v>
      </c>
      <c r="G469" s="9" t="s">
        <v>57</v>
      </c>
      <c r="H469" s="9" t="s">
        <v>337</v>
      </c>
      <c r="I469" s="13"/>
      <c r="J469" s="13"/>
      <c r="K469" s="14"/>
      <c r="L469" s="13"/>
      <c r="M469" s="22"/>
      <c r="N469" s="15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9">
        <v>468.0</v>
      </c>
      <c r="B470" s="10">
        <v>44073.0</v>
      </c>
      <c r="C470" s="9" t="s">
        <v>393</v>
      </c>
      <c r="D470" s="11" t="s">
        <v>1015</v>
      </c>
      <c r="E470" s="9">
        <v>9.71050775455E12</v>
      </c>
      <c r="F470" s="12" t="s">
        <v>1016</v>
      </c>
      <c r="G470" s="9" t="s">
        <v>96</v>
      </c>
      <c r="H470" s="9" t="s">
        <v>654</v>
      </c>
      <c r="I470" s="13"/>
      <c r="J470" s="13"/>
      <c r="K470" s="14"/>
      <c r="L470" s="13"/>
      <c r="M470" s="14"/>
      <c r="N470" s="15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9">
        <v>469.0</v>
      </c>
      <c r="B471" s="10">
        <v>44073.0</v>
      </c>
      <c r="C471" s="9" t="s">
        <v>309</v>
      </c>
      <c r="D471" s="11" t="s">
        <v>58</v>
      </c>
      <c r="E471" s="9">
        <v>3.20479191919E11</v>
      </c>
      <c r="F471" s="12" t="s">
        <v>137</v>
      </c>
      <c r="G471" s="9" t="s">
        <v>300</v>
      </c>
      <c r="H471" s="9" t="s">
        <v>41</v>
      </c>
      <c r="I471" s="13"/>
      <c r="J471" s="13"/>
      <c r="K471" s="14"/>
      <c r="L471" s="13"/>
      <c r="M471" s="14"/>
      <c r="N471" s="15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9">
        <v>470.0</v>
      </c>
      <c r="B472" s="10">
        <v>44073.0</v>
      </c>
      <c r="C472" s="9" t="s">
        <v>309</v>
      </c>
      <c r="D472" s="11" t="s">
        <v>1017</v>
      </c>
      <c r="E472" s="9">
        <v>9.710555755122E12</v>
      </c>
      <c r="F472" s="12" t="s">
        <v>1018</v>
      </c>
      <c r="G472" s="9" t="s">
        <v>432</v>
      </c>
      <c r="H472" s="9" t="s">
        <v>17</v>
      </c>
      <c r="I472" s="13"/>
      <c r="J472" s="13"/>
      <c r="K472" s="14"/>
      <c r="L472" s="13"/>
      <c r="M472" s="14"/>
      <c r="N472" s="15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9">
        <v>471.0</v>
      </c>
      <c r="B473" s="10">
        <v>44072.0</v>
      </c>
      <c r="C473" s="9" t="s">
        <v>393</v>
      </c>
      <c r="D473" s="11" t="s">
        <v>1019</v>
      </c>
      <c r="E473" s="9">
        <v>9.710544223175E12</v>
      </c>
      <c r="F473" s="12" t="s">
        <v>1020</v>
      </c>
      <c r="G473" s="9" t="s">
        <v>300</v>
      </c>
      <c r="H473" s="9" t="s">
        <v>17</v>
      </c>
      <c r="I473" s="13"/>
      <c r="J473" s="13"/>
      <c r="K473" s="14"/>
      <c r="L473" s="13"/>
      <c r="M473" s="14"/>
      <c r="N473" s="15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9">
        <v>472.0</v>
      </c>
      <c r="B474" s="10">
        <v>44072.0</v>
      </c>
      <c r="C474" s="9" t="s">
        <v>393</v>
      </c>
      <c r="D474" s="11" t="s">
        <v>1021</v>
      </c>
      <c r="E474" s="9">
        <v>9.71050569848487E14</v>
      </c>
      <c r="F474" s="12" t="s">
        <v>1022</v>
      </c>
      <c r="G474" s="9" t="s">
        <v>96</v>
      </c>
      <c r="H474" s="9" t="s">
        <v>17</v>
      </c>
      <c r="I474" s="13"/>
      <c r="J474" s="13"/>
      <c r="K474" s="14"/>
      <c r="L474" s="13"/>
      <c r="M474" s="14"/>
      <c r="N474" s="15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9">
        <v>473.0</v>
      </c>
      <c r="B475" s="10">
        <v>44072.0</v>
      </c>
      <c r="C475" s="9" t="s">
        <v>393</v>
      </c>
      <c r="D475" s="11" t="s">
        <v>1023</v>
      </c>
      <c r="E475" s="9">
        <v>9.710556500888E12</v>
      </c>
      <c r="F475" s="12" t="s">
        <v>1024</v>
      </c>
      <c r="G475" s="9" t="s">
        <v>20</v>
      </c>
      <c r="H475" s="9" t="s">
        <v>13</v>
      </c>
      <c r="I475" s="13"/>
      <c r="J475" s="13"/>
      <c r="K475" s="14"/>
      <c r="L475" s="13"/>
      <c r="M475" s="14"/>
      <c r="N475" s="15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9">
        <v>474.0</v>
      </c>
      <c r="B476" s="10">
        <v>44072.0</v>
      </c>
      <c r="C476" s="9" t="s">
        <v>393</v>
      </c>
      <c r="D476" s="11" t="s">
        <v>1025</v>
      </c>
      <c r="E476" s="9">
        <v>9.710552582813E12</v>
      </c>
      <c r="F476" s="12" t="s">
        <v>1026</v>
      </c>
      <c r="G476" s="9" t="s">
        <v>80</v>
      </c>
      <c r="H476" s="9" t="s">
        <v>260</v>
      </c>
      <c r="I476" s="13"/>
      <c r="J476" s="13"/>
      <c r="K476" s="14"/>
      <c r="L476" s="13"/>
      <c r="M476" s="14"/>
      <c r="N476" s="15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9">
        <v>475.0</v>
      </c>
      <c r="B477" s="10">
        <v>44072.0</v>
      </c>
      <c r="C477" s="9" t="s">
        <v>309</v>
      </c>
      <c r="D477" s="11" t="s">
        <v>1027</v>
      </c>
      <c r="E477" s="9">
        <v>9.710501432333E12</v>
      </c>
      <c r="F477" s="12" t="s">
        <v>1028</v>
      </c>
      <c r="G477" s="9" t="s">
        <v>432</v>
      </c>
      <c r="H477" s="9" t="s">
        <v>17</v>
      </c>
      <c r="I477" s="13"/>
      <c r="J477" s="13"/>
      <c r="K477" s="14"/>
      <c r="L477" s="13"/>
      <c r="M477" s="14"/>
      <c r="N477" s="15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9">
        <v>476.0</v>
      </c>
      <c r="B478" s="10">
        <v>44072.0</v>
      </c>
      <c r="C478" s="9" t="s">
        <v>393</v>
      </c>
      <c r="D478" s="11" t="s">
        <v>1029</v>
      </c>
      <c r="E478" s="9">
        <v>9.710506253911E12</v>
      </c>
      <c r="F478" s="12" t="s">
        <v>1030</v>
      </c>
      <c r="G478" s="9" t="s">
        <v>80</v>
      </c>
      <c r="H478" s="9" t="s">
        <v>81</v>
      </c>
      <c r="I478" s="13"/>
      <c r="J478" s="13"/>
      <c r="K478" s="14"/>
      <c r="L478" s="13"/>
      <c r="M478" s="14"/>
      <c r="N478" s="15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9">
        <v>477.0</v>
      </c>
      <c r="B479" s="10">
        <v>44072.0</v>
      </c>
      <c r="C479" s="9" t="s">
        <v>309</v>
      </c>
      <c r="D479" s="11" t="s">
        <v>1031</v>
      </c>
      <c r="E479" s="9">
        <v>9.71527775225E11</v>
      </c>
      <c r="F479" s="12" t="s">
        <v>1032</v>
      </c>
      <c r="G479" s="9" t="s">
        <v>432</v>
      </c>
      <c r="H479" s="9" t="s">
        <v>81</v>
      </c>
      <c r="I479" s="13"/>
      <c r="J479" s="13"/>
      <c r="K479" s="14"/>
      <c r="L479" s="13"/>
      <c r="M479" s="14"/>
      <c r="N479" s="15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9">
        <v>478.0</v>
      </c>
      <c r="B480" s="10">
        <v>44072.0</v>
      </c>
      <c r="C480" s="9" t="s">
        <v>309</v>
      </c>
      <c r="D480" s="11" t="s">
        <v>1033</v>
      </c>
      <c r="E480" s="9">
        <v>9.710507611894E12</v>
      </c>
      <c r="F480" s="12" t="s">
        <v>1034</v>
      </c>
      <c r="G480" s="9" t="s">
        <v>364</v>
      </c>
      <c r="H480" s="9" t="s">
        <v>17</v>
      </c>
      <c r="I480" s="13"/>
      <c r="J480" s="13"/>
      <c r="K480" s="14"/>
      <c r="L480" s="13"/>
      <c r="M480" s="14"/>
      <c r="N480" s="15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9">
        <v>479.0</v>
      </c>
      <c r="B481" s="10">
        <v>44072.0</v>
      </c>
      <c r="C481" s="9" t="s">
        <v>309</v>
      </c>
      <c r="D481" s="11" t="s">
        <v>1035</v>
      </c>
      <c r="E481" s="9">
        <v>9.7158103834E11</v>
      </c>
      <c r="F481" s="12" t="s">
        <v>1036</v>
      </c>
      <c r="G481" s="9" t="s">
        <v>12</v>
      </c>
      <c r="H481" s="9" t="s">
        <v>13</v>
      </c>
      <c r="I481" s="13"/>
      <c r="J481" s="13"/>
      <c r="K481" s="14"/>
      <c r="L481" s="13"/>
      <c r="M481" s="14"/>
      <c r="N481" s="15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9">
        <v>480.0</v>
      </c>
      <c r="B482" s="10">
        <v>44072.0</v>
      </c>
      <c r="C482" s="9" t="s">
        <v>309</v>
      </c>
      <c r="D482" s="11" t="s">
        <v>1037</v>
      </c>
      <c r="E482" s="9">
        <v>9.71563702705E11</v>
      </c>
      <c r="F482" s="12" t="s">
        <v>1038</v>
      </c>
      <c r="G482" s="9" t="s">
        <v>1039</v>
      </c>
      <c r="H482" s="9" t="s">
        <v>13</v>
      </c>
      <c r="I482" s="13"/>
      <c r="J482" s="13"/>
      <c r="K482" s="14"/>
      <c r="L482" s="13"/>
      <c r="M482" s="14"/>
      <c r="N482" s="15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9">
        <v>481.0</v>
      </c>
      <c r="B483" s="10">
        <v>44072.0</v>
      </c>
      <c r="C483" s="9" t="s">
        <v>393</v>
      </c>
      <c r="D483" s="11" t="s">
        <v>1040</v>
      </c>
      <c r="E483" s="9">
        <v>9.710508739259E12</v>
      </c>
      <c r="F483" s="12" t="s">
        <v>1041</v>
      </c>
      <c r="G483" s="9" t="s">
        <v>80</v>
      </c>
      <c r="H483" s="9" t="s">
        <v>81</v>
      </c>
      <c r="I483" s="13"/>
      <c r="J483" s="13"/>
      <c r="K483" s="14"/>
      <c r="L483" s="13"/>
      <c r="M483" s="14"/>
      <c r="N483" s="15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9">
        <v>482.0</v>
      </c>
      <c r="B484" s="10">
        <v>44072.0</v>
      </c>
      <c r="C484" s="9" t="s">
        <v>309</v>
      </c>
      <c r="D484" s="11" t="s">
        <v>899</v>
      </c>
      <c r="E484" s="9">
        <v>9.71569895811E11</v>
      </c>
      <c r="F484" s="12" t="s">
        <v>1042</v>
      </c>
      <c r="G484" s="9" t="s">
        <v>187</v>
      </c>
      <c r="H484" s="9" t="s">
        <v>17</v>
      </c>
      <c r="I484" s="13"/>
      <c r="J484" s="13"/>
      <c r="K484" s="14"/>
      <c r="L484" s="13"/>
      <c r="M484" s="14"/>
      <c r="N484" s="15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9">
        <v>483.0</v>
      </c>
      <c r="B485" s="10">
        <v>44072.0</v>
      </c>
      <c r="C485" s="9" t="s">
        <v>473</v>
      </c>
      <c r="D485" s="11" t="s">
        <v>1043</v>
      </c>
      <c r="E485" s="9">
        <v>9.710505502645E12</v>
      </c>
      <c r="F485" s="12" t="s">
        <v>1044</v>
      </c>
      <c r="G485" s="9" t="s">
        <v>80</v>
      </c>
      <c r="H485" s="9" t="s">
        <v>81</v>
      </c>
      <c r="I485" s="13"/>
      <c r="J485" s="13"/>
      <c r="K485" s="14"/>
      <c r="L485" s="13"/>
      <c r="M485" s="14"/>
      <c r="N485" s="15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9">
        <v>484.0</v>
      </c>
      <c r="B486" s="10">
        <v>44072.0</v>
      </c>
      <c r="C486" s="9" t="s">
        <v>473</v>
      </c>
      <c r="D486" s="11" t="s">
        <v>1045</v>
      </c>
      <c r="E486" s="9">
        <v>9.710506855833E12</v>
      </c>
      <c r="F486" s="12" t="s">
        <v>1046</v>
      </c>
      <c r="G486" s="9" t="s">
        <v>20</v>
      </c>
      <c r="H486" s="9" t="s">
        <v>13</v>
      </c>
      <c r="I486" s="13"/>
      <c r="J486" s="13"/>
      <c r="K486" s="14"/>
      <c r="L486" s="13"/>
      <c r="M486" s="14"/>
      <c r="N486" s="15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9">
        <v>485.0</v>
      </c>
      <c r="B487" s="10">
        <v>44072.0</v>
      </c>
      <c r="C487" s="9" t="s">
        <v>309</v>
      </c>
      <c r="D487" s="16" t="s">
        <v>1047</v>
      </c>
      <c r="E487" s="9">
        <v>9.71502622875E11</v>
      </c>
      <c r="F487" s="12" t="s">
        <v>1048</v>
      </c>
      <c r="G487" s="9" t="s">
        <v>57</v>
      </c>
      <c r="H487" s="9" t="s">
        <v>811</v>
      </c>
      <c r="I487" s="13"/>
      <c r="J487" s="13"/>
      <c r="K487" s="14"/>
      <c r="L487" s="13"/>
      <c r="M487" s="22"/>
      <c r="N487" s="15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9">
        <v>486.0</v>
      </c>
      <c r="B488" s="10">
        <v>44072.0</v>
      </c>
      <c r="C488" s="9" t="s">
        <v>473</v>
      </c>
      <c r="D488" s="11" t="s">
        <v>1049</v>
      </c>
      <c r="E488" s="9">
        <v>9.71526155E11</v>
      </c>
      <c r="F488" s="12" t="s">
        <v>1050</v>
      </c>
      <c r="G488" s="9" t="s">
        <v>176</v>
      </c>
      <c r="H488" s="9" t="s">
        <v>81</v>
      </c>
      <c r="I488" s="13"/>
      <c r="J488" s="13"/>
      <c r="K488" s="14"/>
      <c r="L488" s="13"/>
      <c r="M488" s="14"/>
      <c r="N488" s="15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9">
        <v>487.0</v>
      </c>
      <c r="B489" s="10">
        <v>44071.0</v>
      </c>
      <c r="C489" s="9" t="s">
        <v>393</v>
      </c>
      <c r="D489" s="11" t="s">
        <v>1051</v>
      </c>
      <c r="E489" s="9">
        <v>9.7150310716E11</v>
      </c>
      <c r="F489" s="12" t="s">
        <v>1052</v>
      </c>
      <c r="G489" s="9" t="s">
        <v>16</v>
      </c>
      <c r="H489" s="9" t="s">
        <v>17</v>
      </c>
      <c r="I489" s="13"/>
      <c r="J489" s="13"/>
      <c r="K489" s="14"/>
      <c r="L489" s="13"/>
      <c r="M489" s="14"/>
      <c r="N489" s="15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9">
        <v>488.0</v>
      </c>
      <c r="B490" s="10">
        <v>44071.0</v>
      </c>
      <c r="C490" s="9" t="s">
        <v>473</v>
      </c>
      <c r="D490" s="11" t="s">
        <v>113</v>
      </c>
      <c r="E490" s="9">
        <v>9.7105044322E12</v>
      </c>
      <c r="F490" s="12" t="s">
        <v>114</v>
      </c>
      <c r="G490" s="9" t="s">
        <v>60</v>
      </c>
      <c r="H490" s="9" t="s">
        <v>13</v>
      </c>
      <c r="I490" s="13"/>
      <c r="J490" s="13"/>
      <c r="K490" s="14"/>
      <c r="L490" s="13"/>
      <c r="M490" s="14"/>
      <c r="N490" s="15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9">
        <v>489.0</v>
      </c>
      <c r="B491" s="10">
        <v>44071.0</v>
      </c>
      <c r="C491" s="9" t="s">
        <v>393</v>
      </c>
      <c r="D491" s="11" t="s">
        <v>1053</v>
      </c>
      <c r="E491" s="9">
        <v>9.710504736663E12</v>
      </c>
      <c r="F491" s="12" t="s">
        <v>1054</v>
      </c>
      <c r="G491" s="9" t="s">
        <v>96</v>
      </c>
      <c r="H491" s="9" t="s">
        <v>21</v>
      </c>
      <c r="I491" s="13"/>
      <c r="J491" s="13"/>
      <c r="K491" s="14"/>
      <c r="L491" s="13"/>
      <c r="M491" s="14"/>
      <c r="N491" s="15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9">
        <v>490.0</v>
      </c>
      <c r="B492" s="10">
        <v>44072.0</v>
      </c>
      <c r="C492" s="9" t="s">
        <v>1055</v>
      </c>
      <c r="D492" s="11" t="s">
        <v>1056</v>
      </c>
      <c r="E492" s="17">
        <f>+971506951593</f>
        <v>971506951593</v>
      </c>
      <c r="F492" s="12" t="s">
        <v>1057</v>
      </c>
      <c r="G492" s="9" t="s">
        <v>176</v>
      </c>
      <c r="H492" s="9" t="s">
        <v>81</v>
      </c>
      <c r="I492" s="13"/>
      <c r="J492" s="13"/>
      <c r="K492" s="14"/>
      <c r="L492" s="13"/>
      <c r="M492" s="14"/>
      <c r="N492" s="15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9">
        <v>491.0</v>
      </c>
      <c r="B493" s="10">
        <v>44071.0</v>
      </c>
      <c r="C493" s="9" t="s">
        <v>393</v>
      </c>
      <c r="D493" s="11" t="s">
        <v>1058</v>
      </c>
      <c r="E493" s="9">
        <v>9.7155221992E11</v>
      </c>
      <c r="F493" s="12" t="s">
        <v>1059</v>
      </c>
      <c r="G493" s="9" t="s">
        <v>96</v>
      </c>
      <c r="H493" s="9" t="s">
        <v>17</v>
      </c>
      <c r="I493" s="13"/>
      <c r="J493" s="13"/>
      <c r="K493" s="14"/>
      <c r="L493" s="13"/>
      <c r="M493" s="14"/>
      <c r="N493" s="15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9">
        <v>492.0</v>
      </c>
      <c r="B494" s="10">
        <v>44071.0</v>
      </c>
      <c r="C494" s="9" t="s">
        <v>393</v>
      </c>
      <c r="D494" s="11" t="s">
        <v>1060</v>
      </c>
      <c r="E494" s="9">
        <v>9.7105851947E12</v>
      </c>
      <c r="F494" s="12" t="s">
        <v>1061</v>
      </c>
      <c r="G494" s="9" t="s">
        <v>16</v>
      </c>
      <c r="H494" s="9" t="s">
        <v>17</v>
      </c>
      <c r="I494" s="13"/>
      <c r="J494" s="13"/>
      <c r="K494" s="14"/>
      <c r="L494" s="13"/>
      <c r="M494" s="14"/>
      <c r="N494" s="15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9">
        <v>493.0</v>
      </c>
      <c r="B495" s="10">
        <v>44071.0</v>
      </c>
      <c r="C495" s="9" t="s">
        <v>309</v>
      </c>
      <c r="D495" s="11" t="s">
        <v>69</v>
      </c>
      <c r="E495" s="9">
        <v>9.710503131266E12</v>
      </c>
      <c r="F495" s="12" t="s">
        <v>1062</v>
      </c>
      <c r="G495" s="9" t="s">
        <v>138</v>
      </c>
      <c r="H495" s="9" t="s">
        <v>17</v>
      </c>
      <c r="I495" s="13"/>
      <c r="J495" s="13"/>
      <c r="K495" s="14"/>
      <c r="L495" s="13"/>
      <c r="M495" s="14"/>
      <c r="N495" s="15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9">
        <v>494.0</v>
      </c>
      <c r="B496" s="10">
        <v>44071.0</v>
      </c>
      <c r="C496" s="9" t="s">
        <v>309</v>
      </c>
      <c r="D496" s="11" t="s">
        <v>110</v>
      </c>
      <c r="E496" s="9">
        <v>9.710501066683E12</v>
      </c>
      <c r="F496" s="12" t="s">
        <v>111</v>
      </c>
      <c r="G496" s="9" t="s">
        <v>300</v>
      </c>
      <c r="H496" s="9" t="s">
        <v>41</v>
      </c>
      <c r="I496" s="13"/>
      <c r="J496" s="13"/>
      <c r="K496" s="14"/>
      <c r="L496" s="13"/>
      <c r="M496" s="14"/>
      <c r="N496" s="15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9">
        <v>495.0</v>
      </c>
      <c r="B497" s="10">
        <v>44071.0</v>
      </c>
      <c r="C497" s="9" t="s">
        <v>309</v>
      </c>
      <c r="D497" s="11" t="s">
        <v>1063</v>
      </c>
      <c r="E497" s="9">
        <v>9.6550608264E10</v>
      </c>
      <c r="F497" s="12" t="s">
        <v>1064</v>
      </c>
      <c r="G497" s="9" t="s">
        <v>181</v>
      </c>
      <c r="H497" s="9" t="s">
        <v>41</v>
      </c>
      <c r="I497" s="13"/>
      <c r="J497" s="13"/>
      <c r="K497" s="14"/>
      <c r="L497" s="13"/>
      <c r="M497" s="14"/>
      <c r="N497" s="15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9">
        <v>496.0</v>
      </c>
      <c r="B498" s="10">
        <v>44071.0</v>
      </c>
      <c r="C498" s="9" t="s">
        <v>393</v>
      </c>
      <c r="D498" s="11" t="s">
        <v>1065</v>
      </c>
      <c r="E498" s="9">
        <v>9.71567145466E11</v>
      </c>
      <c r="F498" s="12" t="s">
        <v>1066</v>
      </c>
      <c r="G498" s="9" t="s">
        <v>176</v>
      </c>
      <c r="H498" s="9" t="s">
        <v>337</v>
      </c>
      <c r="I498" s="13"/>
      <c r="J498" s="13"/>
      <c r="K498" s="14"/>
      <c r="L498" s="13"/>
      <c r="M498" s="14"/>
      <c r="N498" s="15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9">
        <v>497.0</v>
      </c>
      <c r="B499" s="18">
        <v>44071.0</v>
      </c>
      <c r="C499" s="19" t="s">
        <v>393</v>
      </c>
      <c r="D499" s="11" t="s">
        <v>1067</v>
      </c>
      <c r="E499" s="19">
        <v>9.660505673935E12</v>
      </c>
      <c r="F499" s="12" t="s">
        <v>1068</v>
      </c>
      <c r="G499" s="19" t="s">
        <v>80</v>
      </c>
      <c r="H499" s="19" t="s">
        <v>41</v>
      </c>
      <c r="I499" s="13"/>
      <c r="J499" s="13"/>
      <c r="K499" s="20"/>
      <c r="L499" s="13"/>
      <c r="M499" s="20"/>
      <c r="N499" s="21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9">
        <v>498.0</v>
      </c>
      <c r="B500" s="10">
        <v>44071.0</v>
      </c>
      <c r="C500" s="9" t="s">
        <v>393</v>
      </c>
      <c r="D500" s="11" t="s">
        <v>1069</v>
      </c>
      <c r="E500" s="9">
        <v>9.710545856772E12</v>
      </c>
      <c r="F500" s="12" t="s">
        <v>1070</v>
      </c>
      <c r="G500" s="9" t="s">
        <v>52</v>
      </c>
      <c r="H500" s="9" t="s">
        <v>21</v>
      </c>
      <c r="I500" s="13"/>
      <c r="J500" s="13"/>
      <c r="K500" s="14"/>
      <c r="L500" s="13"/>
      <c r="M500" s="14"/>
      <c r="N500" s="15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9">
        <v>499.0</v>
      </c>
      <c r="B501" s="10">
        <v>44070.0</v>
      </c>
      <c r="C501" s="9" t="s">
        <v>393</v>
      </c>
      <c r="D501" s="11" t="s">
        <v>1071</v>
      </c>
      <c r="E501" s="9">
        <v>9.71055650674E12</v>
      </c>
      <c r="F501" s="12" t="s">
        <v>1072</v>
      </c>
      <c r="G501" s="9" t="s">
        <v>364</v>
      </c>
      <c r="H501" s="9" t="s">
        <v>17</v>
      </c>
      <c r="I501" s="13"/>
      <c r="J501" s="13"/>
      <c r="K501" s="14"/>
      <c r="L501" s="13"/>
      <c r="M501" s="14"/>
      <c r="N501" s="15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9">
        <v>500.0</v>
      </c>
      <c r="B502" s="10">
        <v>44070.0</v>
      </c>
      <c r="C502" s="9" t="s">
        <v>1073</v>
      </c>
      <c r="D502" s="11" t="s">
        <v>1074</v>
      </c>
      <c r="E502" s="9">
        <v>9.710526455258E12</v>
      </c>
      <c r="F502" s="12" t="s">
        <v>1075</v>
      </c>
      <c r="G502" s="9" t="s">
        <v>432</v>
      </c>
      <c r="H502" s="9" t="s">
        <v>21</v>
      </c>
      <c r="I502" s="13"/>
      <c r="J502" s="13"/>
      <c r="K502" s="14"/>
      <c r="L502" s="13"/>
      <c r="M502" s="14"/>
      <c r="N502" s="15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9">
        <v>501.0</v>
      </c>
      <c r="B503" s="10">
        <v>44070.0</v>
      </c>
      <c r="C503" s="9" t="s">
        <v>393</v>
      </c>
      <c r="D503" s="11" t="s">
        <v>1076</v>
      </c>
      <c r="E503" s="9">
        <v>9.713478337196E12</v>
      </c>
      <c r="F503" s="12" t="s">
        <v>1077</v>
      </c>
      <c r="G503" s="9" t="s">
        <v>28</v>
      </c>
      <c r="H503" s="9" t="s">
        <v>13</v>
      </c>
      <c r="I503" s="13"/>
      <c r="J503" s="13"/>
      <c r="K503" s="14"/>
      <c r="L503" s="13"/>
      <c r="M503" s="14"/>
      <c r="N503" s="15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9">
        <v>502.0</v>
      </c>
      <c r="B504" s="10">
        <v>44070.0</v>
      </c>
      <c r="C504" s="9" t="s">
        <v>393</v>
      </c>
      <c r="D504" s="11" t="s">
        <v>1078</v>
      </c>
      <c r="E504" s="17">
        <f>+971505029227</f>
        <v>971505029227</v>
      </c>
      <c r="F504" s="9" t="s">
        <v>410</v>
      </c>
      <c r="G504" s="9" t="s">
        <v>16</v>
      </c>
      <c r="H504" s="9" t="s">
        <v>13</v>
      </c>
      <c r="I504" s="13"/>
      <c r="J504" s="13"/>
      <c r="K504" s="14"/>
      <c r="L504" s="13"/>
      <c r="M504" s="14"/>
      <c r="N504" s="15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9">
        <v>503.0</v>
      </c>
      <c r="B505" s="10">
        <v>44070.0</v>
      </c>
      <c r="C505" s="9" t="s">
        <v>393</v>
      </c>
      <c r="D505" s="11" t="s">
        <v>1079</v>
      </c>
      <c r="E505" s="9">
        <v>9.710502428736E12</v>
      </c>
      <c r="F505" s="12" t="s">
        <v>1080</v>
      </c>
      <c r="G505" s="9" t="s">
        <v>20</v>
      </c>
      <c r="H505" s="9" t="s">
        <v>13</v>
      </c>
      <c r="I505" s="13"/>
      <c r="J505" s="13"/>
      <c r="K505" s="14"/>
      <c r="L505" s="13"/>
      <c r="M505" s="14"/>
      <c r="N505" s="15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9">
        <v>504.0</v>
      </c>
      <c r="B506" s="10">
        <v>44070.0</v>
      </c>
      <c r="C506" s="9" t="s">
        <v>393</v>
      </c>
      <c r="D506" s="11" t="s">
        <v>1081</v>
      </c>
      <c r="E506" s="9">
        <v>9.710506505481E12</v>
      </c>
      <c r="F506" s="12" t="s">
        <v>1082</v>
      </c>
      <c r="G506" s="9" t="s">
        <v>455</v>
      </c>
      <c r="H506" s="9" t="s">
        <v>41</v>
      </c>
      <c r="I506" s="13"/>
      <c r="J506" s="13"/>
      <c r="K506" s="14"/>
      <c r="L506" s="13"/>
      <c r="M506" s="14"/>
      <c r="N506" s="15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9">
        <v>505.0</v>
      </c>
      <c r="B507" s="10">
        <v>44070.0</v>
      </c>
      <c r="C507" s="9" t="s">
        <v>393</v>
      </c>
      <c r="D507" s="11" t="s">
        <v>1083</v>
      </c>
      <c r="E507" s="9">
        <v>4.917272154E11</v>
      </c>
      <c r="F507" s="12" t="s">
        <v>1084</v>
      </c>
      <c r="G507" s="9" t="s">
        <v>138</v>
      </c>
      <c r="H507" s="9" t="s">
        <v>41</v>
      </c>
      <c r="I507" s="13"/>
      <c r="J507" s="13"/>
      <c r="K507" s="14"/>
      <c r="L507" s="13"/>
      <c r="M507" s="14"/>
      <c r="N507" s="15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9">
        <v>506.0</v>
      </c>
      <c r="B508" s="10">
        <v>44070.0</v>
      </c>
      <c r="C508" s="9" t="s">
        <v>150</v>
      </c>
      <c r="D508" s="11" t="s">
        <v>1085</v>
      </c>
      <c r="E508" s="9">
        <v>9.710507580865E12</v>
      </c>
      <c r="F508" s="12" t="s">
        <v>1086</v>
      </c>
      <c r="G508" s="9" t="s">
        <v>80</v>
      </c>
      <c r="H508" s="9" t="s">
        <v>21</v>
      </c>
      <c r="I508" s="13"/>
      <c r="J508" s="13"/>
      <c r="K508" s="14"/>
      <c r="L508" s="13"/>
      <c r="M508" s="14"/>
      <c r="N508" s="15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9">
        <v>507.0</v>
      </c>
      <c r="B509" s="10">
        <v>44070.0</v>
      </c>
      <c r="C509" s="9" t="s">
        <v>309</v>
      </c>
      <c r="D509" s="16" t="s">
        <v>31</v>
      </c>
      <c r="E509" s="9">
        <v>9.710507879022E12</v>
      </c>
      <c r="F509" s="12" t="s">
        <v>32</v>
      </c>
      <c r="G509" s="9" t="s">
        <v>57</v>
      </c>
      <c r="H509" s="9" t="s">
        <v>41</v>
      </c>
      <c r="I509" s="13"/>
      <c r="J509" s="13"/>
      <c r="K509" s="14"/>
      <c r="L509" s="13"/>
      <c r="M509" s="22"/>
      <c r="N509" s="15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9">
        <v>508.0</v>
      </c>
      <c r="B510" s="10">
        <v>44070.0</v>
      </c>
      <c r="C510" s="9" t="s">
        <v>393</v>
      </c>
      <c r="D510" s="11" t="s">
        <v>1087</v>
      </c>
      <c r="E510" s="9">
        <v>9.710503462457E12</v>
      </c>
      <c r="F510" s="12" t="s">
        <v>1088</v>
      </c>
      <c r="G510" s="9" t="s">
        <v>60</v>
      </c>
      <c r="H510" s="9" t="s">
        <v>21</v>
      </c>
      <c r="I510" s="13"/>
      <c r="J510" s="13"/>
      <c r="K510" s="14"/>
      <c r="L510" s="13"/>
      <c r="M510" s="14"/>
      <c r="N510" s="15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9">
        <v>509.0</v>
      </c>
      <c r="B511" s="10">
        <v>44070.0</v>
      </c>
      <c r="C511" s="9" t="s">
        <v>393</v>
      </c>
      <c r="D511" s="11" t="s">
        <v>1089</v>
      </c>
      <c r="E511" s="9">
        <v>9.71055236575E12</v>
      </c>
      <c r="F511" s="12" t="s">
        <v>581</v>
      </c>
      <c r="G511" s="9" t="s">
        <v>1090</v>
      </c>
      <c r="H511" s="9" t="s">
        <v>13</v>
      </c>
      <c r="I511" s="13"/>
      <c r="J511" s="13"/>
      <c r="K511" s="14"/>
      <c r="L511" s="13"/>
      <c r="M511" s="14"/>
      <c r="N511" s="15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9">
        <v>510.0</v>
      </c>
      <c r="B512" s="10">
        <v>44070.0</v>
      </c>
      <c r="C512" s="9" t="s">
        <v>393</v>
      </c>
      <c r="D512" s="11" t="s">
        <v>1091</v>
      </c>
      <c r="E512" s="9">
        <v>9.7466841231E10</v>
      </c>
      <c r="F512" s="12" t="s">
        <v>1092</v>
      </c>
      <c r="G512" s="9" t="s">
        <v>432</v>
      </c>
      <c r="H512" s="9" t="s">
        <v>81</v>
      </c>
      <c r="I512" s="13"/>
      <c r="J512" s="13"/>
      <c r="K512" s="14"/>
      <c r="L512" s="13"/>
      <c r="M512" s="14"/>
      <c r="N512" s="15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9">
        <v>511.0</v>
      </c>
      <c r="B513" s="10">
        <v>44070.0</v>
      </c>
      <c r="C513" s="9" t="s">
        <v>473</v>
      </c>
      <c r="D513" s="11" t="s">
        <v>1093</v>
      </c>
      <c r="E513" s="9">
        <v>9.710561261961E12</v>
      </c>
      <c r="F513" s="12" t="s">
        <v>1094</v>
      </c>
      <c r="G513" s="9" t="s">
        <v>20</v>
      </c>
      <c r="H513" s="9" t="s">
        <v>13</v>
      </c>
      <c r="I513" s="13"/>
      <c r="J513" s="13"/>
      <c r="K513" s="14"/>
      <c r="L513" s="13"/>
      <c r="M513" s="14"/>
      <c r="N513" s="15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9">
        <v>512.0</v>
      </c>
      <c r="B514" s="10">
        <v>44070.0</v>
      </c>
      <c r="C514" s="9" t="s">
        <v>393</v>
      </c>
      <c r="D514" s="11" t="s">
        <v>1095</v>
      </c>
      <c r="E514" s="17">
        <f>+971509709941</f>
        <v>971509709941</v>
      </c>
      <c r="F514" s="12" t="s">
        <v>1096</v>
      </c>
      <c r="G514" s="9" t="s">
        <v>16</v>
      </c>
      <c r="H514" s="9" t="s">
        <v>13</v>
      </c>
      <c r="I514" s="13"/>
      <c r="J514" s="13"/>
      <c r="K514" s="14"/>
      <c r="L514" s="13"/>
      <c r="M514" s="14"/>
      <c r="N514" s="15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9">
        <v>513.0</v>
      </c>
      <c r="B515" s="10">
        <v>44070.0</v>
      </c>
      <c r="C515" s="9" t="s">
        <v>473</v>
      </c>
      <c r="D515" s="11" t="s">
        <v>1097</v>
      </c>
      <c r="E515" s="9">
        <v>9.710544300745E12</v>
      </c>
      <c r="F515" s="12" t="s">
        <v>1098</v>
      </c>
      <c r="G515" s="9" t="s">
        <v>627</v>
      </c>
      <c r="H515" s="9" t="s">
        <v>654</v>
      </c>
      <c r="I515" s="13"/>
      <c r="J515" s="13"/>
      <c r="K515" s="14"/>
      <c r="L515" s="13"/>
      <c r="M515" s="14"/>
      <c r="N515" s="15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9">
        <v>514.0</v>
      </c>
      <c r="B516" s="10">
        <v>44070.0</v>
      </c>
      <c r="C516" s="9" t="s">
        <v>473</v>
      </c>
      <c r="D516" s="11" t="s">
        <v>33</v>
      </c>
      <c r="E516" s="9">
        <v>9.710528187327E12</v>
      </c>
      <c r="F516" s="12" t="s">
        <v>34</v>
      </c>
      <c r="G516" s="9" t="s">
        <v>176</v>
      </c>
      <c r="H516" s="9" t="s">
        <v>41</v>
      </c>
      <c r="I516" s="13"/>
      <c r="J516" s="13"/>
      <c r="K516" s="14"/>
      <c r="L516" s="13"/>
      <c r="M516" s="14"/>
      <c r="N516" s="15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9">
        <v>515.0</v>
      </c>
      <c r="B517" s="10">
        <v>44070.0</v>
      </c>
      <c r="C517" s="9" t="s">
        <v>473</v>
      </c>
      <c r="D517" s="11" t="s">
        <v>1099</v>
      </c>
      <c r="E517" s="9">
        <v>9.710567153535E12</v>
      </c>
      <c r="F517" s="12" t="s">
        <v>1100</v>
      </c>
      <c r="G517" s="9" t="s">
        <v>176</v>
      </c>
      <c r="H517" s="9" t="s">
        <v>41</v>
      </c>
      <c r="I517" s="13"/>
      <c r="J517" s="13"/>
      <c r="K517" s="14"/>
      <c r="L517" s="13"/>
      <c r="M517" s="14"/>
      <c r="N517" s="15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9">
        <v>516.0</v>
      </c>
      <c r="B518" s="10">
        <v>44070.0</v>
      </c>
      <c r="C518" s="9" t="s">
        <v>393</v>
      </c>
      <c r="D518" s="11" t="s">
        <v>1101</v>
      </c>
      <c r="E518" s="17">
        <f>+97105554547660</f>
        <v>97105554547660</v>
      </c>
      <c r="F518" s="12" t="s">
        <v>1102</v>
      </c>
      <c r="G518" s="9" t="s">
        <v>52</v>
      </c>
      <c r="H518" s="9" t="s">
        <v>41</v>
      </c>
      <c r="I518" s="13"/>
      <c r="J518" s="13"/>
      <c r="K518" s="14"/>
      <c r="L518" s="13"/>
      <c r="M518" s="14"/>
      <c r="N518" s="15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9">
        <v>517.0</v>
      </c>
      <c r="B519" s="10">
        <v>44070.0</v>
      </c>
      <c r="C519" s="9" t="s">
        <v>473</v>
      </c>
      <c r="D519" s="11" t="s">
        <v>1103</v>
      </c>
      <c r="E519" s="9">
        <v>9.7105055098E12</v>
      </c>
      <c r="F519" s="12" t="s">
        <v>1104</v>
      </c>
      <c r="G519" s="9" t="s">
        <v>96</v>
      </c>
      <c r="H519" s="9" t="s">
        <v>21</v>
      </c>
      <c r="I519" s="13"/>
      <c r="J519" s="13"/>
      <c r="K519" s="14"/>
      <c r="L519" s="13"/>
      <c r="M519" s="14"/>
      <c r="N519" s="15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9">
        <v>518.0</v>
      </c>
      <c r="B520" s="10">
        <v>44070.0</v>
      </c>
      <c r="C520" s="9" t="s">
        <v>47</v>
      </c>
      <c r="D520" s="11" t="s">
        <v>1105</v>
      </c>
      <c r="E520" s="9">
        <v>9.71050521195E12</v>
      </c>
      <c r="F520" s="12" t="s">
        <v>1106</v>
      </c>
      <c r="G520" s="9" t="s">
        <v>80</v>
      </c>
      <c r="H520" s="9" t="s">
        <v>21</v>
      </c>
      <c r="I520" s="13"/>
      <c r="J520" s="13"/>
      <c r="K520" s="14"/>
      <c r="L520" s="13"/>
      <c r="M520" s="14"/>
      <c r="N520" s="15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9">
        <v>519.0</v>
      </c>
      <c r="B521" s="10">
        <v>44070.0</v>
      </c>
      <c r="C521" s="9" t="s">
        <v>309</v>
      </c>
      <c r="D521" s="11" t="s">
        <v>959</v>
      </c>
      <c r="E521" s="9">
        <v>9.71556608371E11</v>
      </c>
      <c r="F521" s="12" t="s">
        <v>960</v>
      </c>
      <c r="G521" s="9" t="s">
        <v>364</v>
      </c>
      <c r="H521" s="9" t="s">
        <v>17</v>
      </c>
      <c r="I521" s="13"/>
      <c r="J521" s="13"/>
      <c r="K521" s="14"/>
      <c r="L521" s="13"/>
      <c r="M521" s="14"/>
      <c r="N521" s="15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9">
        <v>520.0</v>
      </c>
      <c r="B522" s="10">
        <v>44069.0</v>
      </c>
      <c r="C522" s="9" t="s">
        <v>473</v>
      </c>
      <c r="D522" s="11" t="s">
        <v>63</v>
      </c>
      <c r="E522" s="9">
        <v>9.71554279991E11</v>
      </c>
      <c r="F522" s="12" t="s">
        <v>64</v>
      </c>
      <c r="G522" s="9" t="s">
        <v>20</v>
      </c>
      <c r="H522" s="9" t="s">
        <v>13</v>
      </c>
      <c r="I522" s="13"/>
      <c r="J522" s="13"/>
      <c r="K522" s="14"/>
      <c r="L522" s="13"/>
      <c r="M522" s="14"/>
      <c r="N522" s="15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9">
        <v>521.0</v>
      </c>
      <c r="B523" s="10">
        <v>44069.0</v>
      </c>
      <c r="C523" s="9" t="s">
        <v>393</v>
      </c>
      <c r="D523" s="11" t="s">
        <v>1107</v>
      </c>
      <c r="E523" s="17">
        <f>+971506406807</f>
        <v>971506406807</v>
      </c>
      <c r="F523" s="12" t="s">
        <v>1108</v>
      </c>
      <c r="G523" s="9" t="s">
        <v>432</v>
      </c>
      <c r="H523" s="9" t="s">
        <v>81</v>
      </c>
      <c r="I523" s="13"/>
      <c r="J523" s="13"/>
      <c r="K523" s="14"/>
      <c r="L523" s="13"/>
      <c r="M523" s="14"/>
      <c r="N523" s="15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9">
        <v>522.0</v>
      </c>
      <c r="B524" s="10">
        <v>44069.0</v>
      </c>
      <c r="C524" s="9" t="s">
        <v>47</v>
      </c>
      <c r="D524" s="11" t="s">
        <v>1109</v>
      </c>
      <c r="E524" s="9">
        <v>9.71522330115E11</v>
      </c>
      <c r="F524" s="12" t="s">
        <v>1110</v>
      </c>
      <c r="G524" s="9" t="s">
        <v>455</v>
      </c>
      <c r="H524" s="9" t="s">
        <v>17</v>
      </c>
      <c r="I524" s="13"/>
      <c r="J524" s="13"/>
      <c r="K524" s="14"/>
      <c r="L524" s="13"/>
      <c r="M524" s="14"/>
      <c r="N524" s="15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9">
        <v>523.0</v>
      </c>
      <c r="B525" s="10">
        <v>44069.0</v>
      </c>
      <c r="C525" s="9" t="s">
        <v>47</v>
      </c>
      <c r="D525" s="11" t="s">
        <v>58</v>
      </c>
      <c r="E525" s="9">
        <v>9.710556390635E12</v>
      </c>
      <c r="F525" s="12" t="s">
        <v>59</v>
      </c>
      <c r="G525" s="9" t="s">
        <v>20</v>
      </c>
      <c r="H525" s="9" t="s">
        <v>13</v>
      </c>
      <c r="I525" s="13"/>
      <c r="J525" s="13"/>
      <c r="K525" s="14"/>
      <c r="L525" s="13"/>
      <c r="M525" s="14"/>
      <c r="N525" s="15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9">
        <v>524.0</v>
      </c>
      <c r="B526" s="10">
        <v>44069.0</v>
      </c>
      <c r="C526" s="9" t="s">
        <v>393</v>
      </c>
      <c r="D526" s="11" t="s">
        <v>1111</v>
      </c>
      <c r="E526" s="9">
        <v>9.71562396319E11</v>
      </c>
      <c r="F526" s="12" t="s">
        <v>1112</v>
      </c>
      <c r="G526" s="9" t="s">
        <v>96</v>
      </c>
      <c r="H526" s="9" t="s">
        <v>41</v>
      </c>
      <c r="I526" s="13"/>
      <c r="J526" s="13"/>
      <c r="K526" s="14"/>
      <c r="L526" s="13"/>
      <c r="M526" s="14"/>
      <c r="N526" s="15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9">
        <v>525.0</v>
      </c>
      <c r="B527" s="10">
        <v>44069.0</v>
      </c>
      <c r="C527" s="9" t="s">
        <v>309</v>
      </c>
      <c r="D527" s="11" t="s">
        <v>1113</v>
      </c>
      <c r="E527" s="9">
        <v>9.710507382337E12</v>
      </c>
      <c r="F527" s="12" t="s">
        <v>1114</v>
      </c>
      <c r="G527" s="9" t="s">
        <v>12</v>
      </c>
      <c r="H527" s="9" t="s">
        <v>13</v>
      </c>
      <c r="I527" s="13"/>
      <c r="J527" s="13"/>
      <c r="K527" s="14"/>
      <c r="L527" s="13"/>
      <c r="M527" s="14"/>
      <c r="N527" s="15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9">
        <v>526.0</v>
      </c>
      <c r="B528" s="10">
        <v>44069.0</v>
      </c>
      <c r="C528" s="9" t="s">
        <v>393</v>
      </c>
      <c r="D528" s="11" t="s">
        <v>1115</v>
      </c>
      <c r="E528" s="17">
        <f>+9710552167705</f>
        <v>9710552167705</v>
      </c>
      <c r="F528" s="12" t="s">
        <v>1116</v>
      </c>
      <c r="G528" s="9" t="s">
        <v>417</v>
      </c>
      <c r="H528" s="9" t="s">
        <v>21</v>
      </c>
      <c r="I528" s="13"/>
      <c r="J528" s="13"/>
      <c r="K528" s="14"/>
      <c r="L528" s="13"/>
      <c r="M528" s="14"/>
      <c r="N528" s="15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9">
        <v>527.0</v>
      </c>
      <c r="B529" s="10">
        <v>44069.0</v>
      </c>
      <c r="C529" s="9" t="s">
        <v>309</v>
      </c>
      <c r="D529" s="11" t="s">
        <v>1117</v>
      </c>
      <c r="E529" s="9">
        <v>9.71508196027E11</v>
      </c>
      <c r="F529" s="12" t="s">
        <v>1118</v>
      </c>
      <c r="G529" s="9" t="s">
        <v>364</v>
      </c>
      <c r="H529" s="9" t="s">
        <v>17</v>
      </c>
      <c r="I529" s="13"/>
      <c r="J529" s="13"/>
      <c r="K529" s="14"/>
      <c r="L529" s="13"/>
      <c r="M529" s="14"/>
      <c r="N529" s="15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9">
        <v>528.0</v>
      </c>
      <c r="B530" s="10">
        <v>44069.0</v>
      </c>
      <c r="C530" s="9" t="s">
        <v>393</v>
      </c>
      <c r="D530" s="11" t="s">
        <v>1119</v>
      </c>
      <c r="E530" s="17">
        <f>+9710551956021</f>
        <v>9710551956021</v>
      </c>
      <c r="F530" s="12" t="s">
        <v>1120</v>
      </c>
      <c r="G530" s="9" t="s">
        <v>52</v>
      </c>
      <c r="H530" s="9" t="s">
        <v>21</v>
      </c>
      <c r="I530" s="13"/>
      <c r="J530" s="13"/>
      <c r="K530" s="14"/>
      <c r="L530" s="13"/>
      <c r="M530" s="14"/>
      <c r="N530" s="15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9">
        <v>529.0</v>
      </c>
      <c r="B531" s="10">
        <v>44069.0</v>
      </c>
      <c r="C531" s="9" t="s">
        <v>393</v>
      </c>
      <c r="D531" s="11" t="s">
        <v>1121</v>
      </c>
      <c r="E531" s="9">
        <v>9.23332225711E11</v>
      </c>
      <c r="F531" s="12" t="s">
        <v>1122</v>
      </c>
      <c r="G531" s="9" t="s">
        <v>96</v>
      </c>
      <c r="H531" s="9" t="s">
        <v>41</v>
      </c>
      <c r="I531" s="13"/>
      <c r="J531" s="13"/>
      <c r="K531" s="14"/>
      <c r="L531" s="13"/>
      <c r="M531" s="14"/>
      <c r="N531" s="15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9">
        <v>530.0</v>
      </c>
      <c r="B532" s="10">
        <v>44069.0</v>
      </c>
      <c r="C532" s="9" t="s">
        <v>393</v>
      </c>
      <c r="D532" s="11" t="s">
        <v>1123</v>
      </c>
      <c r="E532" s="17">
        <f>+971504451555</f>
        <v>971504451555</v>
      </c>
      <c r="F532" s="12" t="s">
        <v>1124</v>
      </c>
      <c r="G532" s="9" t="s">
        <v>60</v>
      </c>
      <c r="H532" s="9" t="s">
        <v>81</v>
      </c>
      <c r="I532" s="13"/>
      <c r="J532" s="13"/>
      <c r="K532" s="14"/>
      <c r="L532" s="13"/>
      <c r="M532" s="14"/>
      <c r="N532" s="15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9">
        <v>531.0</v>
      </c>
      <c r="B533" s="10">
        <v>44069.0</v>
      </c>
      <c r="C533" s="9" t="s">
        <v>393</v>
      </c>
      <c r="D533" s="11" t="s">
        <v>1125</v>
      </c>
      <c r="E533" s="17">
        <f>+971504431002</f>
        <v>971504431002</v>
      </c>
      <c r="F533" s="12" t="s">
        <v>1126</v>
      </c>
      <c r="G533" s="9" t="s">
        <v>28</v>
      </c>
      <c r="H533" s="9" t="s">
        <v>13</v>
      </c>
      <c r="I533" s="13"/>
      <c r="J533" s="13"/>
      <c r="K533" s="14"/>
      <c r="L533" s="13"/>
      <c r="M533" s="14"/>
      <c r="N533" s="15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9">
        <v>532.0</v>
      </c>
      <c r="B534" s="10">
        <v>44069.0</v>
      </c>
      <c r="C534" s="9" t="s">
        <v>393</v>
      </c>
      <c r="D534" s="11" t="s">
        <v>1127</v>
      </c>
      <c r="E534" s="9">
        <v>9.62779165823E11</v>
      </c>
      <c r="F534" s="12" t="s">
        <v>1128</v>
      </c>
      <c r="G534" s="9" t="s">
        <v>176</v>
      </c>
      <c r="H534" s="9" t="s">
        <v>41</v>
      </c>
      <c r="I534" s="13"/>
      <c r="J534" s="13"/>
      <c r="K534" s="14"/>
      <c r="L534" s="13"/>
      <c r="M534" s="14"/>
      <c r="N534" s="15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9">
        <v>533.0</v>
      </c>
      <c r="B535" s="10">
        <v>44069.0</v>
      </c>
      <c r="C535" s="9" t="s">
        <v>47</v>
      </c>
      <c r="D535" s="11" t="s">
        <v>1129</v>
      </c>
      <c r="E535" s="9">
        <v>9.710558338566E12</v>
      </c>
      <c r="F535" s="12" t="s">
        <v>1130</v>
      </c>
      <c r="G535" s="9" t="s">
        <v>80</v>
      </c>
      <c r="H535" s="9" t="s">
        <v>81</v>
      </c>
      <c r="I535" s="13"/>
      <c r="J535" s="13"/>
      <c r="K535" s="14"/>
      <c r="L535" s="13"/>
      <c r="M535" s="14"/>
      <c r="N535" s="15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9">
        <v>534.0</v>
      </c>
      <c r="B536" s="10">
        <v>44069.0</v>
      </c>
      <c r="C536" s="9" t="s">
        <v>473</v>
      </c>
      <c r="D536" s="11" t="s">
        <v>1131</v>
      </c>
      <c r="E536" s="9">
        <v>9.710545353551E12</v>
      </c>
      <c r="F536" s="12" t="s">
        <v>1132</v>
      </c>
      <c r="G536" s="9" t="s">
        <v>60</v>
      </c>
      <c r="H536" s="9" t="s">
        <v>21</v>
      </c>
      <c r="I536" s="13"/>
      <c r="J536" s="13"/>
      <c r="K536" s="14"/>
      <c r="L536" s="13"/>
      <c r="M536" s="14"/>
      <c r="N536" s="15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9">
        <v>535.0</v>
      </c>
      <c r="B537" s="10">
        <v>44069.0</v>
      </c>
      <c r="C537" s="9" t="s">
        <v>309</v>
      </c>
      <c r="D537" s="11" t="s">
        <v>78</v>
      </c>
      <c r="E537" s="9">
        <v>9.710557024576E12</v>
      </c>
      <c r="F537" s="12" t="s">
        <v>79</v>
      </c>
      <c r="G537" s="9" t="s">
        <v>28</v>
      </c>
      <c r="H537" s="9" t="s">
        <v>13</v>
      </c>
      <c r="I537" s="13"/>
      <c r="J537" s="13"/>
      <c r="K537" s="14"/>
      <c r="L537" s="13"/>
      <c r="M537" s="14"/>
      <c r="N537" s="15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9">
        <v>536.0</v>
      </c>
      <c r="B538" s="10">
        <v>44069.0</v>
      </c>
      <c r="C538" s="9" t="s">
        <v>393</v>
      </c>
      <c r="D538" s="11" t="s">
        <v>1133</v>
      </c>
      <c r="E538" s="9">
        <v>9.710504181277E12</v>
      </c>
      <c r="F538" s="12" t="s">
        <v>1134</v>
      </c>
      <c r="G538" s="9" t="s">
        <v>1090</v>
      </c>
      <c r="H538" s="9" t="s">
        <v>13</v>
      </c>
      <c r="I538" s="13"/>
      <c r="J538" s="13"/>
      <c r="K538" s="14"/>
      <c r="L538" s="13"/>
      <c r="M538" s="14"/>
      <c r="N538" s="15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9">
        <v>537.0</v>
      </c>
      <c r="B539" s="10">
        <v>44069.0</v>
      </c>
      <c r="C539" s="9" t="s">
        <v>393</v>
      </c>
      <c r="D539" s="11" t="s">
        <v>1135</v>
      </c>
      <c r="E539" s="9">
        <v>9.714222935E10</v>
      </c>
      <c r="F539" s="12" t="s">
        <v>1136</v>
      </c>
      <c r="G539" s="9" t="s">
        <v>96</v>
      </c>
      <c r="H539" s="9" t="s">
        <v>41</v>
      </c>
      <c r="I539" s="13"/>
      <c r="J539" s="13"/>
      <c r="K539" s="14"/>
      <c r="L539" s="13"/>
      <c r="M539" s="14"/>
      <c r="N539" s="15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9">
        <v>538.0</v>
      </c>
      <c r="B540" s="10">
        <v>44069.0</v>
      </c>
      <c r="C540" s="9" t="s">
        <v>393</v>
      </c>
      <c r="D540" s="11" t="s">
        <v>1137</v>
      </c>
      <c r="E540" s="9">
        <v>9.710559996683E12</v>
      </c>
      <c r="F540" s="12" t="s">
        <v>1138</v>
      </c>
      <c r="G540" s="9" t="s">
        <v>432</v>
      </c>
      <c r="H540" s="9" t="s">
        <v>21</v>
      </c>
      <c r="I540" s="13"/>
      <c r="J540" s="13"/>
      <c r="K540" s="14"/>
      <c r="L540" s="13"/>
      <c r="M540" s="14"/>
      <c r="N540" s="15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9">
        <v>539.0</v>
      </c>
      <c r="B541" s="10">
        <v>44069.0</v>
      </c>
      <c r="C541" s="9" t="s">
        <v>309</v>
      </c>
      <c r="D541" s="11" t="s">
        <v>1139</v>
      </c>
      <c r="E541" s="9">
        <v>9.71561404141E11</v>
      </c>
      <c r="F541" s="12" t="s">
        <v>1140</v>
      </c>
      <c r="G541" s="9" t="s">
        <v>181</v>
      </c>
      <c r="H541" s="9" t="s">
        <v>17</v>
      </c>
      <c r="I541" s="13"/>
      <c r="J541" s="13"/>
      <c r="K541" s="14"/>
      <c r="L541" s="13"/>
      <c r="M541" s="14"/>
      <c r="N541" s="15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9">
        <v>540.0</v>
      </c>
      <c r="B542" s="10">
        <v>44069.0</v>
      </c>
      <c r="C542" s="9" t="s">
        <v>309</v>
      </c>
      <c r="D542" s="11" t="s">
        <v>82</v>
      </c>
      <c r="E542" s="9">
        <v>9.710554879022E12</v>
      </c>
      <c r="F542" s="12" t="s">
        <v>83</v>
      </c>
      <c r="G542" s="9" t="s">
        <v>46</v>
      </c>
      <c r="H542" s="9" t="s">
        <v>13</v>
      </c>
      <c r="I542" s="13"/>
      <c r="J542" s="13"/>
      <c r="K542" s="14"/>
      <c r="L542" s="13"/>
      <c r="M542" s="14"/>
      <c r="N542" s="15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9">
        <v>541.0</v>
      </c>
      <c r="B543" s="10">
        <v>44069.0</v>
      </c>
      <c r="C543" s="9" t="s">
        <v>473</v>
      </c>
      <c r="D543" s="11" t="s">
        <v>86</v>
      </c>
      <c r="E543" s="9">
        <v>9.710503351177E12</v>
      </c>
      <c r="F543" s="12" t="s">
        <v>87</v>
      </c>
      <c r="G543" s="9" t="s">
        <v>176</v>
      </c>
      <c r="H543" s="9" t="s">
        <v>81</v>
      </c>
      <c r="I543" s="13"/>
      <c r="J543" s="13"/>
      <c r="K543" s="14"/>
      <c r="L543" s="13"/>
      <c r="M543" s="14"/>
      <c r="N543" s="15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9">
        <v>542.0</v>
      </c>
      <c r="B544" s="10">
        <v>44069.0</v>
      </c>
      <c r="C544" s="9" t="s">
        <v>473</v>
      </c>
      <c r="D544" s="11" t="s">
        <v>1141</v>
      </c>
      <c r="E544" s="9">
        <v>9.71504979164E11</v>
      </c>
      <c r="F544" s="12" t="s">
        <v>1142</v>
      </c>
      <c r="G544" s="9" t="s">
        <v>60</v>
      </c>
      <c r="H544" s="9" t="s">
        <v>21</v>
      </c>
      <c r="I544" s="13"/>
      <c r="J544" s="13"/>
      <c r="K544" s="14"/>
      <c r="L544" s="13"/>
      <c r="M544" s="14"/>
      <c r="N544" s="15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9">
        <v>543.0</v>
      </c>
      <c r="B545" s="10">
        <v>44069.0</v>
      </c>
      <c r="C545" s="9" t="s">
        <v>309</v>
      </c>
      <c r="D545" s="11" t="s">
        <v>84</v>
      </c>
      <c r="E545" s="9">
        <v>9.71552557205E11</v>
      </c>
      <c r="F545" s="12" t="s">
        <v>85</v>
      </c>
      <c r="G545" s="9" t="s">
        <v>80</v>
      </c>
      <c r="H545" s="9" t="s">
        <v>41</v>
      </c>
      <c r="I545" s="13"/>
      <c r="J545" s="13"/>
      <c r="K545" s="14"/>
      <c r="L545" s="13"/>
      <c r="M545" s="14"/>
      <c r="N545" s="15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9">
        <v>544.0</v>
      </c>
      <c r="B546" s="10">
        <v>44069.0</v>
      </c>
      <c r="C546" s="9" t="s">
        <v>473</v>
      </c>
      <c r="D546" s="11" t="s">
        <v>1143</v>
      </c>
      <c r="E546" s="9">
        <v>9.710507397579E12</v>
      </c>
      <c r="F546" s="12" t="s">
        <v>1144</v>
      </c>
      <c r="G546" s="9" t="s">
        <v>176</v>
      </c>
      <c r="H546" s="9" t="s">
        <v>81</v>
      </c>
      <c r="I546" s="13"/>
      <c r="J546" s="13"/>
      <c r="K546" s="14"/>
      <c r="L546" s="13"/>
      <c r="M546" s="14"/>
      <c r="N546" s="15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9">
        <v>545.0</v>
      </c>
      <c r="B547" s="10">
        <v>44068.0</v>
      </c>
      <c r="C547" s="9" t="s">
        <v>473</v>
      </c>
      <c r="D547" s="11" t="s">
        <v>1145</v>
      </c>
      <c r="E547" s="9">
        <v>9.71556006654E11</v>
      </c>
      <c r="F547" s="12" t="s">
        <v>1146</v>
      </c>
      <c r="G547" s="9" t="s">
        <v>176</v>
      </c>
      <c r="H547" s="9" t="s">
        <v>206</v>
      </c>
      <c r="I547" s="13"/>
      <c r="J547" s="13"/>
      <c r="K547" s="14"/>
      <c r="L547" s="13"/>
      <c r="M547" s="14"/>
      <c r="N547" s="15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9">
        <v>546.0</v>
      </c>
      <c r="B548" s="10">
        <v>44068.0</v>
      </c>
      <c r="C548" s="9" t="s">
        <v>309</v>
      </c>
      <c r="D548" s="16" t="s">
        <v>92</v>
      </c>
      <c r="E548" s="9">
        <v>9.710504322338E12</v>
      </c>
      <c r="F548" s="12" t="s">
        <v>93</v>
      </c>
      <c r="G548" s="9" t="s">
        <v>57</v>
      </c>
      <c r="H548" s="9" t="s">
        <v>41</v>
      </c>
      <c r="I548" s="13"/>
      <c r="J548" s="13"/>
      <c r="K548" s="14"/>
      <c r="L548" s="13"/>
      <c r="M548" s="22"/>
      <c r="N548" s="15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9">
        <v>547.0</v>
      </c>
      <c r="B549" s="10">
        <v>44068.0</v>
      </c>
      <c r="C549" s="9" t="s">
        <v>473</v>
      </c>
      <c r="D549" s="16" t="s">
        <v>1147</v>
      </c>
      <c r="E549" s="9">
        <v>9.710501711272E12</v>
      </c>
      <c r="F549" s="12" t="s">
        <v>1148</v>
      </c>
      <c r="G549" s="9" t="s">
        <v>57</v>
      </c>
      <c r="H549" s="9" t="s">
        <v>17</v>
      </c>
      <c r="I549" s="13"/>
      <c r="J549" s="13"/>
      <c r="K549" s="14"/>
      <c r="L549" s="13"/>
      <c r="M549" s="22"/>
      <c r="N549" s="15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9">
        <v>548.0</v>
      </c>
      <c r="B550" s="10">
        <v>44068.0</v>
      </c>
      <c r="C550" s="9" t="s">
        <v>309</v>
      </c>
      <c r="D550" s="16" t="s">
        <v>1149</v>
      </c>
      <c r="E550" s="9">
        <v>9.710508069997E12</v>
      </c>
      <c r="F550" s="12" t="s">
        <v>1150</v>
      </c>
      <c r="G550" s="9" t="s">
        <v>57</v>
      </c>
      <c r="H550" s="9" t="s">
        <v>41</v>
      </c>
      <c r="I550" s="13"/>
      <c r="J550" s="13"/>
      <c r="K550" s="14"/>
      <c r="L550" s="13"/>
      <c r="M550" s="22"/>
      <c r="N550" s="15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9">
        <v>549.0</v>
      </c>
      <c r="B551" s="10">
        <v>44068.0</v>
      </c>
      <c r="C551" s="9" t="s">
        <v>393</v>
      </c>
      <c r="D551" s="11" t="s">
        <v>1151</v>
      </c>
      <c r="E551" s="9">
        <v>9.710508089682E12</v>
      </c>
      <c r="F551" s="12" t="s">
        <v>1152</v>
      </c>
      <c r="G551" s="9" t="s">
        <v>52</v>
      </c>
      <c r="H551" s="9" t="s">
        <v>41</v>
      </c>
      <c r="I551" s="13"/>
      <c r="J551" s="13"/>
      <c r="K551" s="14"/>
      <c r="L551" s="13"/>
      <c r="M551" s="14"/>
      <c r="N551" s="15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9">
        <v>550.0</v>
      </c>
      <c r="B552" s="10">
        <v>44068.0</v>
      </c>
      <c r="C552" s="9" t="s">
        <v>309</v>
      </c>
      <c r="D552" s="16" t="s">
        <v>1153</v>
      </c>
      <c r="E552" s="9">
        <v>9.710507412229E12</v>
      </c>
      <c r="F552" s="12" t="s">
        <v>1154</v>
      </c>
      <c r="G552" s="9" t="s">
        <v>57</v>
      </c>
      <c r="H552" s="9" t="s">
        <v>41</v>
      </c>
      <c r="I552" s="13"/>
      <c r="J552" s="13"/>
      <c r="K552" s="14"/>
      <c r="L552" s="13"/>
      <c r="M552" s="22"/>
      <c r="N552" s="15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9">
        <v>551.0</v>
      </c>
      <c r="B553" s="10">
        <v>44068.0</v>
      </c>
      <c r="C553" s="9" t="s">
        <v>473</v>
      </c>
      <c r="D553" s="11" t="s">
        <v>105</v>
      </c>
      <c r="E553" s="9">
        <v>9.7156536001E11</v>
      </c>
      <c r="F553" s="12" t="s">
        <v>106</v>
      </c>
      <c r="G553" s="9" t="s">
        <v>176</v>
      </c>
      <c r="H553" s="9" t="s">
        <v>41</v>
      </c>
      <c r="I553" s="13"/>
      <c r="J553" s="13"/>
      <c r="K553" s="14"/>
      <c r="L553" s="13"/>
      <c r="M553" s="14"/>
      <c r="N553" s="15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9">
        <v>552.0</v>
      </c>
      <c r="B554" s="10">
        <v>44068.0</v>
      </c>
      <c r="C554" s="9" t="s">
        <v>473</v>
      </c>
      <c r="D554" s="11" t="s">
        <v>1155</v>
      </c>
      <c r="E554" s="9">
        <v>9.71507747008E11</v>
      </c>
      <c r="F554" s="12" t="s">
        <v>1156</v>
      </c>
      <c r="G554" s="9" t="s">
        <v>80</v>
      </c>
      <c r="H554" s="9" t="s">
        <v>17</v>
      </c>
      <c r="I554" s="13"/>
      <c r="J554" s="13"/>
      <c r="K554" s="14"/>
      <c r="L554" s="13"/>
      <c r="M554" s="14"/>
      <c r="N554" s="15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9">
        <v>553.0</v>
      </c>
      <c r="B555" s="10">
        <v>44068.0</v>
      </c>
      <c r="C555" s="9" t="s">
        <v>473</v>
      </c>
      <c r="D555" s="11" t="s">
        <v>1157</v>
      </c>
      <c r="E555" s="9">
        <v>9.710558666132E12</v>
      </c>
      <c r="F555" s="12" t="s">
        <v>1158</v>
      </c>
      <c r="G555" s="9" t="s">
        <v>20</v>
      </c>
      <c r="H555" s="9" t="s">
        <v>13</v>
      </c>
      <c r="I555" s="13"/>
      <c r="J555" s="13"/>
      <c r="K555" s="14"/>
      <c r="L555" s="13"/>
      <c r="M555" s="14"/>
      <c r="N555" s="15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9">
        <v>554.0</v>
      </c>
      <c r="B556" s="10">
        <v>44067.0</v>
      </c>
      <c r="C556" s="9" t="s">
        <v>473</v>
      </c>
      <c r="D556" s="11" t="s">
        <v>115</v>
      </c>
      <c r="E556" s="9">
        <v>9.710502571668E12</v>
      </c>
      <c r="F556" s="12" t="s">
        <v>116</v>
      </c>
      <c r="G556" s="9" t="s">
        <v>176</v>
      </c>
      <c r="H556" s="9" t="s">
        <v>81</v>
      </c>
      <c r="I556" s="13"/>
      <c r="J556" s="13"/>
      <c r="K556" s="14"/>
      <c r="L556" s="13"/>
      <c r="M556" s="14"/>
      <c r="N556" s="15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9">
        <v>555.0</v>
      </c>
      <c r="B557" s="10">
        <v>44067.0</v>
      </c>
      <c r="C557" s="9" t="s">
        <v>309</v>
      </c>
      <c r="D557" s="11" t="s">
        <v>1159</v>
      </c>
      <c r="E557" s="9">
        <v>9.710564422704E12</v>
      </c>
      <c r="F557" s="12" t="s">
        <v>1160</v>
      </c>
      <c r="G557" s="9" t="s">
        <v>134</v>
      </c>
      <c r="H557" s="9" t="s">
        <v>17</v>
      </c>
      <c r="I557" s="13"/>
      <c r="J557" s="13"/>
      <c r="K557" s="14"/>
      <c r="L557" s="13"/>
      <c r="M557" s="14"/>
      <c r="N557" s="15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9">
        <v>556.0</v>
      </c>
      <c r="B558" s="10">
        <v>44067.0</v>
      </c>
      <c r="C558" s="9" t="s">
        <v>473</v>
      </c>
      <c r="D558" s="11" t="s">
        <v>1161</v>
      </c>
      <c r="E558" s="9">
        <v>9.7156547837E11</v>
      </c>
      <c r="F558" s="12" t="s">
        <v>1162</v>
      </c>
      <c r="G558" s="9" t="s">
        <v>80</v>
      </c>
      <c r="H558" s="9" t="s">
        <v>17</v>
      </c>
      <c r="I558" s="13"/>
      <c r="J558" s="13"/>
      <c r="K558" s="14"/>
      <c r="L558" s="13"/>
      <c r="M558" s="14"/>
      <c r="N558" s="15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9">
        <v>557.0</v>
      </c>
      <c r="B559" s="10">
        <v>44067.0</v>
      </c>
      <c r="C559" s="9" t="s">
        <v>309</v>
      </c>
      <c r="D559" s="11" t="s">
        <v>1163</v>
      </c>
      <c r="E559" s="9">
        <v>9.71588372328E11</v>
      </c>
      <c r="F559" s="12" t="s">
        <v>1164</v>
      </c>
      <c r="G559" s="9" t="s">
        <v>28</v>
      </c>
      <c r="H559" s="9" t="s">
        <v>13</v>
      </c>
      <c r="I559" s="13"/>
      <c r="J559" s="13"/>
      <c r="K559" s="14"/>
      <c r="L559" s="13"/>
      <c r="M559" s="14"/>
      <c r="N559" s="15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9">
        <v>558.0</v>
      </c>
      <c r="B560" s="10">
        <v>44066.0</v>
      </c>
      <c r="C560" s="9" t="s">
        <v>309</v>
      </c>
      <c r="D560" s="11" t="s">
        <v>1165</v>
      </c>
      <c r="E560" s="9">
        <v>9.710565118861E12</v>
      </c>
      <c r="F560" s="12" t="s">
        <v>1166</v>
      </c>
      <c r="G560" s="9" t="s">
        <v>432</v>
      </c>
      <c r="H560" s="9" t="s">
        <v>81</v>
      </c>
      <c r="I560" s="13"/>
      <c r="J560" s="13"/>
      <c r="K560" s="14"/>
      <c r="L560" s="13"/>
      <c r="M560" s="14"/>
      <c r="N560" s="15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9">
        <v>559.0</v>
      </c>
      <c r="B561" s="10">
        <v>44066.0</v>
      </c>
      <c r="C561" s="9" t="s">
        <v>309</v>
      </c>
      <c r="D561" s="11" t="s">
        <v>1167</v>
      </c>
      <c r="E561" s="9">
        <v>9.71563000566E11</v>
      </c>
      <c r="F561" s="12" t="s">
        <v>1168</v>
      </c>
      <c r="G561" s="9" t="s">
        <v>364</v>
      </c>
      <c r="H561" s="9" t="s">
        <v>206</v>
      </c>
      <c r="I561" s="13"/>
      <c r="J561" s="13"/>
      <c r="K561" s="14"/>
      <c r="L561" s="13"/>
      <c r="M561" s="14"/>
      <c r="N561" s="15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9">
        <v>560.0</v>
      </c>
      <c r="B562" s="10">
        <v>44066.0</v>
      </c>
      <c r="C562" s="9" t="s">
        <v>47</v>
      </c>
      <c r="D562" s="11" t="s">
        <v>48</v>
      </c>
      <c r="E562" s="9">
        <v>9.710524607207E12</v>
      </c>
      <c r="F562" s="12" t="s">
        <v>49</v>
      </c>
      <c r="G562" s="9" t="s">
        <v>60</v>
      </c>
      <c r="H562" s="9" t="s">
        <v>13</v>
      </c>
      <c r="I562" s="13"/>
      <c r="J562" s="13"/>
      <c r="K562" s="14"/>
      <c r="L562" s="13"/>
      <c r="M562" s="14"/>
      <c r="N562" s="15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9">
        <v>561.0</v>
      </c>
      <c r="B563" s="10">
        <v>44066.0</v>
      </c>
      <c r="C563" s="9" t="s">
        <v>47</v>
      </c>
      <c r="D563" s="11" t="s">
        <v>1169</v>
      </c>
      <c r="E563" s="9">
        <v>9.7156158382E11</v>
      </c>
      <c r="F563" s="12" t="s">
        <v>1170</v>
      </c>
      <c r="G563" s="9" t="s">
        <v>176</v>
      </c>
      <c r="H563" s="9" t="s">
        <v>17</v>
      </c>
      <c r="I563" s="13"/>
      <c r="J563" s="13"/>
      <c r="K563" s="14"/>
      <c r="L563" s="13"/>
      <c r="M563" s="14"/>
      <c r="N563" s="15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9">
        <v>562.0</v>
      </c>
      <c r="B564" s="10">
        <v>44066.0</v>
      </c>
      <c r="C564" s="9" t="s">
        <v>309</v>
      </c>
      <c r="D564" s="11" t="s">
        <v>50</v>
      </c>
      <c r="E564" s="9">
        <v>9.71553355722E11</v>
      </c>
      <c r="F564" s="12" t="s">
        <v>51</v>
      </c>
      <c r="G564" s="9" t="s">
        <v>176</v>
      </c>
      <c r="H564" s="9" t="s">
        <v>41</v>
      </c>
      <c r="I564" s="13"/>
      <c r="J564" s="13"/>
      <c r="K564" s="14"/>
      <c r="L564" s="13"/>
      <c r="M564" s="14"/>
      <c r="N564" s="15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9">
        <v>563.0</v>
      </c>
      <c r="B565" s="10">
        <v>44066.0</v>
      </c>
      <c r="C565" s="9" t="s">
        <v>150</v>
      </c>
      <c r="D565" s="11" t="s">
        <v>1171</v>
      </c>
      <c r="E565" s="9">
        <v>9.7105055283E12</v>
      </c>
      <c r="F565" s="12" t="s">
        <v>1172</v>
      </c>
      <c r="G565" s="9" t="s">
        <v>60</v>
      </c>
      <c r="H565" s="9" t="s">
        <v>21</v>
      </c>
      <c r="I565" s="13"/>
      <c r="J565" s="13"/>
      <c r="K565" s="14"/>
      <c r="L565" s="13"/>
      <c r="M565" s="14"/>
      <c r="N565" s="15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9">
        <v>564.0</v>
      </c>
      <c r="B566" s="10">
        <v>44066.0</v>
      </c>
      <c r="C566" s="9" t="s">
        <v>150</v>
      </c>
      <c r="D566" s="11" t="s">
        <v>1035</v>
      </c>
      <c r="E566" s="9">
        <v>9.710569933267E12</v>
      </c>
      <c r="F566" s="12" t="s">
        <v>1173</v>
      </c>
      <c r="G566" s="9" t="s">
        <v>176</v>
      </c>
      <c r="H566" s="9" t="s">
        <v>206</v>
      </c>
      <c r="I566" s="13"/>
      <c r="J566" s="13"/>
      <c r="K566" s="14"/>
      <c r="L566" s="13"/>
      <c r="M566" s="14"/>
      <c r="N566" s="15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9">
        <v>565.0</v>
      </c>
      <c r="B567" s="10">
        <v>44066.0</v>
      </c>
      <c r="C567" s="9" t="s">
        <v>150</v>
      </c>
      <c r="D567" s="11" t="s">
        <v>1174</v>
      </c>
      <c r="E567" s="9">
        <v>9.71527098252E11</v>
      </c>
      <c r="F567" s="12" t="s">
        <v>1175</v>
      </c>
      <c r="G567" s="9" t="s">
        <v>60</v>
      </c>
      <c r="H567" s="9" t="s">
        <v>21</v>
      </c>
      <c r="I567" s="13"/>
      <c r="J567" s="13"/>
      <c r="K567" s="14"/>
      <c r="L567" s="13"/>
      <c r="M567" s="14"/>
      <c r="N567" s="15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9">
        <v>566.0</v>
      </c>
      <c r="B568" s="10">
        <v>44066.0</v>
      </c>
      <c r="C568" s="9" t="s">
        <v>150</v>
      </c>
      <c r="D568" s="11" t="s">
        <v>1176</v>
      </c>
      <c r="E568" s="9">
        <v>9.710529149997E12</v>
      </c>
      <c r="F568" s="12" t="s">
        <v>1177</v>
      </c>
      <c r="G568" s="9" t="s">
        <v>176</v>
      </c>
      <c r="H568" s="9" t="s">
        <v>17</v>
      </c>
      <c r="I568" s="13"/>
      <c r="J568" s="13"/>
      <c r="K568" s="14"/>
      <c r="L568" s="13"/>
      <c r="M568" s="14"/>
      <c r="N568" s="15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9">
        <v>567.0</v>
      </c>
      <c r="B569" s="10">
        <v>44066.0</v>
      </c>
      <c r="C569" s="9" t="s">
        <v>309</v>
      </c>
      <c r="D569" s="11" t="s">
        <v>1178</v>
      </c>
      <c r="E569" s="9">
        <v>9.710507761977E12</v>
      </c>
      <c r="F569" s="12" t="s">
        <v>1179</v>
      </c>
      <c r="G569" s="9" t="s">
        <v>60</v>
      </c>
      <c r="H569" s="9" t="s">
        <v>13</v>
      </c>
      <c r="I569" s="13"/>
      <c r="J569" s="13"/>
      <c r="K569" s="14"/>
      <c r="L569" s="13"/>
      <c r="M569" s="14"/>
      <c r="N569" s="15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9">
        <v>568.0</v>
      </c>
      <c r="B570" s="10">
        <v>44066.0</v>
      </c>
      <c r="C570" s="9" t="s">
        <v>473</v>
      </c>
      <c r="D570" s="11" t="s">
        <v>1180</v>
      </c>
      <c r="E570" s="9">
        <v>9.71544640326E11</v>
      </c>
      <c r="F570" s="12" t="s">
        <v>1181</v>
      </c>
      <c r="G570" s="9" t="s">
        <v>176</v>
      </c>
      <c r="H570" s="9" t="s">
        <v>206</v>
      </c>
      <c r="I570" s="13"/>
      <c r="J570" s="13"/>
      <c r="K570" s="14"/>
      <c r="L570" s="13"/>
      <c r="M570" s="14"/>
      <c r="N570" s="15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9">
        <v>569.0</v>
      </c>
      <c r="B571" s="10">
        <v>44066.0</v>
      </c>
      <c r="C571" s="9" t="s">
        <v>309</v>
      </c>
      <c r="D571" s="16" t="s">
        <v>1182</v>
      </c>
      <c r="E571" s="9">
        <v>9.71524073735E11</v>
      </c>
      <c r="F571" s="12" t="s">
        <v>1183</v>
      </c>
      <c r="G571" s="9" t="s">
        <v>181</v>
      </c>
      <c r="H571" s="9" t="s">
        <v>17</v>
      </c>
      <c r="I571" s="13"/>
      <c r="J571" s="13"/>
      <c r="K571" s="14"/>
      <c r="L571" s="13"/>
      <c r="M571" s="22"/>
      <c r="N571" s="15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9">
        <v>570.0</v>
      </c>
      <c r="B572" s="10">
        <v>44066.0</v>
      </c>
      <c r="C572" s="9" t="s">
        <v>473</v>
      </c>
      <c r="D572" s="11" t="s">
        <v>88</v>
      </c>
      <c r="E572" s="9">
        <v>9.710568284082E12</v>
      </c>
      <c r="F572" s="12" t="s">
        <v>89</v>
      </c>
      <c r="G572" s="9" t="s">
        <v>80</v>
      </c>
      <c r="H572" s="9" t="s">
        <v>41</v>
      </c>
      <c r="I572" s="13"/>
      <c r="J572" s="13"/>
      <c r="K572" s="14"/>
      <c r="L572" s="13"/>
      <c r="M572" s="14"/>
      <c r="N572" s="15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9">
        <v>571.0</v>
      </c>
      <c r="B573" s="10">
        <v>44066.0</v>
      </c>
      <c r="C573" s="9" t="s">
        <v>473</v>
      </c>
      <c r="D573" s="11" t="s">
        <v>1184</v>
      </c>
      <c r="E573" s="9">
        <v>9.71544500098E11</v>
      </c>
      <c r="F573" s="12" t="s">
        <v>1185</v>
      </c>
      <c r="G573" s="9" t="s">
        <v>134</v>
      </c>
      <c r="H573" s="9" t="s">
        <v>260</v>
      </c>
      <c r="I573" s="13"/>
      <c r="J573" s="13"/>
      <c r="K573" s="14"/>
      <c r="L573" s="13"/>
      <c r="M573" s="14"/>
      <c r="N573" s="15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9">
        <v>572.0</v>
      </c>
      <c r="B574" s="10">
        <v>44065.0</v>
      </c>
      <c r="C574" s="9" t="s">
        <v>47</v>
      </c>
      <c r="D574" s="11" t="s">
        <v>1186</v>
      </c>
      <c r="E574" s="9">
        <v>9.71505508971E11</v>
      </c>
      <c r="F574" s="12" t="s">
        <v>1187</v>
      </c>
      <c r="G574" s="9" t="s">
        <v>176</v>
      </c>
      <c r="H574" s="9" t="s">
        <v>17</v>
      </c>
      <c r="I574" s="13"/>
      <c r="J574" s="13"/>
      <c r="K574" s="14"/>
      <c r="L574" s="13"/>
      <c r="M574" s="14"/>
      <c r="N574" s="15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9">
        <v>573.0</v>
      </c>
      <c r="B575" s="10">
        <v>44065.0</v>
      </c>
      <c r="C575" s="9" t="s">
        <v>47</v>
      </c>
      <c r="D575" s="11" t="s">
        <v>94</v>
      </c>
      <c r="E575" s="9">
        <v>9.71585840118E11</v>
      </c>
      <c r="F575" s="12" t="s">
        <v>95</v>
      </c>
      <c r="G575" s="9" t="s">
        <v>176</v>
      </c>
      <c r="H575" s="9" t="s">
        <v>41</v>
      </c>
      <c r="I575" s="13"/>
      <c r="J575" s="13"/>
      <c r="K575" s="14"/>
      <c r="L575" s="13"/>
      <c r="M575" s="14"/>
      <c r="N575" s="15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9">
        <v>574.0</v>
      </c>
      <c r="B576" s="10">
        <v>44065.0</v>
      </c>
      <c r="C576" s="9" t="s">
        <v>309</v>
      </c>
      <c r="D576" s="11" t="s">
        <v>1188</v>
      </c>
      <c r="E576" s="9">
        <v>9.710553183335E12</v>
      </c>
      <c r="F576" s="12" t="s">
        <v>1189</v>
      </c>
      <c r="G576" s="9" t="s">
        <v>12</v>
      </c>
      <c r="H576" s="9" t="s">
        <v>17</v>
      </c>
      <c r="I576" s="13"/>
      <c r="J576" s="13"/>
      <c r="K576" s="14"/>
      <c r="L576" s="13"/>
      <c r="M576" s="14"/>
      <c r="N576" s="15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9">
        <v>575.0</v>
      </c>
      <c r="B577" s="10">
        <v>44065.0</v>
      </c>
      <c r="C577" s="9" t="s">
        <v>473</v>
      </c>
      <c r="D577" s="11" t="s">
        <v>113</v>
      </c>
      <c r="E577" s="9">
        <v>9.7105044322E12</v>
      </c>
      <c r="F577" s="12" t="s">
        <v>114</v>
      </c>
      <c r="G577" s="9" t="s">
        <v>60</v>
      </c>
      <c r="H577" s="9" t="s">
        <v>13</v>
      </c>
      <c r="I577" s="13"/>
      <c r="J577" s="13"/>
      <c r="K577" s="14"/>
      <c r="L577" s="13"/>
      <c r="M577" s="14"/>
      <c r="N577" s="15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9">
        <v>576.0</v>
      </c>
      <c r="B578" s="10">
        <v>44065.0</v>
      </c>
      <c r="C578" s="9" t="s">
        <v>309</v>
      </c>
      <c r="D578" s="11" t="s">
        <v>36</v>
      </c>
      <c r="E578" s="9">
        <v>9.71522530215E11</v>
      </c>
      <c r="F578" s="12" t="s">
        <v>37</v>
      </c>
      <c r="G578" s="9" t="s">
        <v>300</v>
      </c>
      <c r="H578" s="9" t="s">
        <v>337</v>
      </c>
      <c r="I578" s="13"/>
      <c r="J578" s="13"/>
      <c r="K578" s="14"/>
      <c r="L578" s="13"/>
      <c r="M578" s="14"/>
      <c r="N578" s="15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9">
        <v>577.0</v>
      </c>
      <c r="B579" s="10">
        <v>44065.0</v>
      </c>
      <c r="C579" s="9" t="s">
        <v>473</v>
      </c>
      <c r="D579" s="11" t="s">
        <v>10</v>
      </c>
      <c r="E579" s="9">
        <v>9.71557471542E11</v>
      </c>
      <c r="F579" s="12" t="s">
        <v>11</v>
      </c>
      <c r="G579" s="9" t="s">
        <v>80</v>
      </c>
      <c r="H579" s="9" t="s">
        <v>17</v>
      </c>
      <c r="I579" s="13"/>
      <c r="J579" s="13"/>
      <c r="K579" s="14"/>
      <c r="L579" s="13"/>
      <c r="M579" s="14"/>
      <c r="N579" s="15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9">
        <v>578.0</v>
      </c>
      <c r="B580" s="10">
        <v>44065.0</v>
      </c>
      <c r="C580" s="9" t="s">
        <v>309</v>
      </c>
      <c r="D580" s="16" t="s">
        <v>23</v>
      </c>
      <c r="E580" s="9">
        <v>9.7105080818E12</v>
      </c>
      <c r="F580" s="12" t="s">
        <v>24</v>
      </c>
      <c r="G580" s="9" t="s">
        <v>176</v>
      </c>
      <c r="H580" s="9" t="s">
        <v>41</v>
      </c>
      <c r="I580" s="13"/>
      <c r="J580" s="13"/>
      <c r="K580" s="14"/>
      <c r="L580" s="13"/>
      <c r="M580" s="22"/>
      <c r="N580" s="15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9">
        <v>579.0</v>
      </c>
      <c r="B581" s="10">
        <v>44065.0</v>
      </c>
      <c r="C581" s="9" t="s">
        <v>309</v>
      </c>
      <c r="D581" s="16" t="s">
        <v>1190</v>
      </c>
      <c r="E581" s="9">
        <v>9.710506979049E12</v>
      </c>
      <c r="F581" s="12" t="s">
        <v>1191</v>
      </c>
      <c r="G581" s="9" t="s">
        <v>80</v>
      </c>
      <c r="H581" s="9" t="s">
        <v>17</v>
      </c>
      <c r="I581" s="13"/>
      <c r="J581" s="13"/>
      <c r="K581" s="14"/>
      <c r="L581" s="13"/>
      <c r="M581" s="22"/>
      <c r="N581" s="15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9">
        <v>580.0</v>
      </c>
      <c r="B582" s="10">
        <v>44065.0</v>
      </c>
      <c r="C582" s="9" t="s">
        <v>309</v>
      </c>
      <c r="D582" s="11" t="s">
        <v>1192</v>
      </c>
      <c r="E582" s="9">
        <v>1.5146622056E10</v>
      </c>
      <c r="F582" s="12" t="s">
        <v>1193</v>
      </c>
      <c r="G582" s="9" t="s">
        <v>12</v>
      </c>
      <c r="H582" s="9" t="s">
        <v>13</v>
      </c>
      <c r="I582" s="13"/>
      <c r="J582" s="13"/>
      <c r="K582" s="14"/>
      <c r="L582" s="13"/>
      <c r="M582" s="14"/>
      <c r="N582" s="15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9">
        <v>581.0</v>
      </c>
      <c r="B583" s="10">
        <v>44065.0</v>
      </c>
      <c r="C583" s="9" t="s">
        <v>473</v>
      </c>
      <c r="D583" s="11" t="s">
        <v>1194</v>
      </c>
      <c r="E583" s="9">
        <v>9.710554316789E12</v>
      </c>
      <c r="F583" s="12" t="s">
        <v>1195</v>
      </c>
      <c r="G583" s="9" t="s">
        <v>80</v>
      </c>
      <c r="H583" s="9" t="s">
        <v>21</v>
      </c>
      <c r="I583" s="13"/>
      <c r="J583" s="13"/>
      <c r="K583" s="14"/>
      <c r="L583" s="13"/>
      <c r="M583" s="14"/>
      <c r="N583" s="15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9">
        <v>582.0</v>
      </c>
      <c r="B584" s="10">
        <v>44064.0</v>
      </c>
      <c r="C584" s="9" t="s">
        <v>309</v>
      </c>
      <c r="D584" s="11" t="s">
        <v>26</v>
      </c>
      <c r="E584" s="9">
        <v>4.60760220988E11</v>
      </c>
      <c r="F584" s="12" t="s">
        <v>27</v>
      </c>
      <c r="G584" s="9" t="s">
        <v>300</v>
      </c>
      <c r="H584" s="9" t="s">
        <v>41</v>
      </c>
      <c r="I584" s="13"/>
      <c r="J584" s="13"/>
      <c r="K584" s="14"/>
      <c r="L584" s="13"/>
      <c r="M584" s="14"/>
      <c r="N584" s="15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9">
        <v>583.0</v>
      </c>
      <c r="B585" s="10">
        <v>44064.0</v>
      </c>
      <c r="C585" s="9" t="s">
        <v>473</v>
      </c>
      <c r="D585" s="11" t="s">
        <v>1196</v>
      </c>
      <c r="E585" s="9">
        <v>9.710508600657E12</v>
      </c>
      <c r="F585" s="12" t="s">
        <v>1197</v>
      </c>
      <c r="G585" s="9" t="s">
        <v>60</v>
      </c>
      <c r="H585" s="9" t="s">
        <v>13</v>
      </c>
      <c r="I585" s="13"/>
      <c r="J585" s="13"/>
      <c r="K585" s="14"/>
      <c r="L585" s="13"/>
      <c r="M585" s="14"/>
      <c r="N585" s="15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9">
        <v>584.0</v>
      </c>
      <c r="B586" s="10">
        <v>44064.0</v>
      </c>
      <c r="C586" s="9" t="s">
        <v>473</v>
      </c>
      <c r="D586" s="11" t="s">
        <v>1198</v>
      </c>
      <c r="E586" s="9">
        <v>9.710566969778E12</v>
      </c>
      <c r="F586" s="12" t="s">
        <v>1199</v>
      </c>
      <c r="G586" s="9" t="s">
        <v>60</v>
      </c>
      <c r="H586" s="9" t="s">
        <v>654</v>
      </c>
      <c r="I586" s="13"/>
      <c r="J586" s="13"/>
      <c r="K586" s="14"/>
      <c r="L586" s="13"/>
      <c r="M586" s="14"/>
      <c r="N586" s="15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9">
        <v>585.0</v>
      </c>
      <c r="B587" s="10">
        <v>44064.0</v>
      </c>
      <c r="C587" s="9" t="s">
        <v>473</v>
      </c>
      <c r="D587" s="11" t="s">
        <v>18</v>
      </c>
      <c r="E587" s="9">
        <v>9.71052250771E12</v>
      </c>
      <c r="F587" s="12" t="s">
        <v>19</v>
      </c>
      <c r="G587" s="9" t="s">
        <v>176</v>
      </c>
      <c r="H587" s="9" t="s">
        <v>41</v>
      </c>
      <c r="I587" s="13"/>
      <c r="J587" s="13"/>
      <c r="K587" s="14"/>
      <c r="L587" s="13"/>
      <c r="M587" s="14"/>
      <c r="N587" s="15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9">
        <v>586.0</v>
      </c>
      <c r="B588" s="10">
        <v>44064.0</v>
      </c>
      <c r="C588" s="9" t="s">
        <v>473</v>
      </c>
      <c r="D588" s="11" t="s">
        <v>14</v>
      </c>
      <c r="E588" s="9">
        <v>9.710567303238E12</v>
      </c>
      <c r="F588" s="12" t="s">
        <v>15</v>
      </c>
      <c r="G588" s="9" t="s">
        <v>176</v>
      </c>
      <c r="H588" s="9" t="s">
        <v>17</v>
      </c>
      <c r="I588" s="13"/>
      <c r="J588" s="13"/>
      <c r="K588" s="14"/>
      <c r="L588" s="13"/>
      <c r="M588" s="14"/>
      <c r="N588" s="15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9">
        <v>587.0</v>
      </c>
      <c r="B589" s="10">
        <v>44064.0</v>
      </c>
      <c r="C589" s="9" t="s">
        <v>309</v>
      </c>
      <c r="D589" s="11" t="s">
        <v>29</v>
      </c>
      <c r="E589" s="9">
        <v>9.710506417775E12</v>
      </c>
      <c r="F589" s="12" t="s">
        <v>30</v>
      </c>
      <c r="G589" s="9" t="s">
        <v>300</v>
      </c>
      <c r="H589" s="9" t="s">
        <v>41</v>
      </c>
      <c r="I589" s="13"/>
      <c r="J589" s="13"/>
      <c r="K589" s="14"/>
      <c r="L589" s="13"/>
      <c r="M589" s="14"/>
      <c r="N589" s="15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9">
        <v>588.0</v>
      </c>
      <c r="B590" s="10">
        <v>44064.0</v>
      </c>
      <c r="C590" s="9" t="s">
        <v>309</v>
      </c>
      <c r="D590" s="11" t="s">
        <v>1200</v>
      </c>
      <c r="E590" s="9">
        <v>2.3176413934E10</v>
      </c>
      <c r="F590" s="12" t="s">
        <v>1201</v>
      </c>
      <c r="G590" s="9" t="s">
        <v>80</v>
      </c>
      <c r="H590" s="9" t="s">
        <v>41</v>
      </c>
      <c r="I590" s="13"/>
      <c r="J590" s="13"/>
      <c r="K590" s="14"/>
      <c r="L590" s="13"/>
      <c r="M590" s="14"/>
      <c r="N590" s="15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9">
        <v>589.0</v>
      </c>
      <c r="B591" s="10">
        <v>44064.0</v>
      </c>
      <c r="C591" s="9" t="s">
        <v>309</v>
      </c>
      <c r="D591" s="11" t="s">
        <v>1202</v>
      </c>
      <c r="E591" s="9">
        <v>9.710503533909E12</v>
      </c>
      <c r="F591" s="12" t="s">
        <v>1203</v>
      </c>
      <c r="G591" s="9" t="s">
        <v>134</v>
      </c>
      <c r="H591" s="9" t="s">
        <v>337</v>
      </c>
      <c r="I591" s="13"/>
      <c r="J591" s="13"/>
      <c r="K591" s="14"/>
      <c r="L591" s="13"/>
      <c r="M591" s="14"/>
      <c r="N591" s="15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9">
        <v>590.0</v>
      </c>
      <c r="B592" s="10">
        <v>44064.0</v>
      </c>
      <c r="C592" s="9" t="s">
        <v>309</v>
      </c>
      <c r="D592" s="11" t="s">
        <v>1204</v>
      </c>
      <c r="E592" s="9">
        <v>9.71501562E11</v>
      </c>
      <c r="F592" s="12" t="s">
        <v>1205</v>
      </c>
      <c r="G592" s="9" t="s">
        <v>80</v>
      </c>
      <c r="H592" s="9" t="s">
        <v>17</v>
      </c>
      <c r="I592" s="13"/>
      <c r="J592" s="13"/>
      <c r="K592" s="14"/>
      <c r="L592" s="13"/>
      <c r="M592" s="14"/>
      <c r="N592" s="15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9">
        <v>591.0</v>
      </c>
      <c r="B593" s="10">
        <v>44064.0</v>
      </c>
      <c r="C593" s="9" t="s">
        <v>309</v>
      </c>
      <c r="D593" s="16" t="s">
        <v>61</v>
      </c>
      <c r="E593" s="9">
        <v>9.71503337762E11</v>
      </c>
      <c r="F593" s="12" t="s">
        <v>62</v>
      </c>
      <c r="G593" s="9" t="s">
        <v>12</v>
      </c>
      <c r="H593" s="9" t="s">
        <v>13</v>
      </c>
      <c r="I593" s="13"/>
      <c r="J593" s="13"/>
      <c r="K593" s="14"/>
      <c r="L593" s="13"/>
      <c r="M593" s="22"/>
      <c r="N593" s="15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9">
        <v>592.0</v>
      </c>
      <c r="B594" s="10">
        <v>44064.0</v>
      </c>
      <c r="C594" s="9" t="s">
        <v>309</v>
      </c>
      <c r="D594" s="16" t="s">
        <v>53</v>
      </c>
      <c r="E594" s="9">
        <v>9.710508444322E12</v>
      </c>
      <c r="F594" s="12" t="s">
        <v>54</v>
      </c>
      <c r="G594" s="9" t="s">
        <v>12</v>
      </c>
      <c r="H594" s="9" t="s">
        <v>13</v>
      </c>
      <c r="I594" s="13"/>
      <c r="J594" s="13"/>
      <c r="K594" s="14"/>
      <c r="L594" s="13"/>
      <c r="M594" s="22"/>
      <c r="N594" s="15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9">
        <v>593.0</v>
      </c>
      <c r="B595" s="10">
        <v>44063.0</v>
      </c>
      <c r="C595" s="9" t="s">
        <v>1206</v>
      </c>
      <c r="D595" s="16" t="s">
        <v>145</v>
      </c>
      <c r="E595" s="9">
        <v>9.669665045807E14</v>
      </c>
      <c r="F595" s="12" t="s">
        <v>146</v>
      </c>
      <c r="G595" s="9" t="s">
        <v>184</v>
      </c>
      <c r="H595" s="9" t="s">
        <v>13</v>
      </c>
      <c r="I595" s="13"/>
      <c r="J595" s="13"/>
      <c r="K595" s="14"/>
      <c r="L595" s="13"/>
      <c r="M595" s="22"/>
      <c r="N595" s="15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9">
        <v>594.0</v>
      </c>
      <c r="B596" s="10">
        <v>44063.0</v>
      </c>
      <c r="C596" s="9" t="s">
        <v>309</v>
      </c>
      <c r="D596" s="11" t="s">
        <v>147</v>
      </c>
      <c r="E596" s="9">
        <v>9.710553536E12</v>
      </c>
      <c r="F596" s="12" t="s">
        <v>148</v>
      </c>
      <c r="G596" s="9" t="s">
        <v>12</v>
      </c>
      <c r="H596" s="9" t="s">
        <v>73</v>
      </c>
      <c r="I596" s="13"/>
      <c r="J596" s="13"/>
      <c r="K596" s="14"/>
      <c r="L596" s="13"/>
      <c r="M596" s="14"/>
      <c r="N596" s="15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9">
        <v>595.0</v>
      </c>
      <c r="B597" s="10">
        <v>44063.0</v>
      </c>
      <c r="C597" s="9" t="s">
        <v>309</v>
      </c>
      <c r="D597" s="11" t="s">
        <v>1207</v>
      </c>
      <c r="E597" s="9">
        <v>9.710501515322E12</v>
      </c>
      <c r="F597" s="12" t="s">
        <v>1208</v>
      </c>
      <c r="G597" s="9" t="s">
        <v>176</v>
      </c>
      <c r="H597" s="9" t="s">
        <v>41</v>
      </c>
      <c r="I597" s="13"/>
      <c r="J597" s="13"/>
      <c r="K597" s="14"/>
      <c r="L597" s="13"/>
      <c r="M597" s="14"/>
      <c r="N597" s="15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9">
        <v>596.0</v>
      </c>
      <c r="B598" s="10">
        <v>44063.0</v>
      </c>
      <c r="C598" s="9" t="s">
        <v>309</v>
      </c>
      <c r="D598" s="11" t="s">
        <v>1209</v>
      </c>
      <c r="E598" s="9">
        <v>9.715989111E9</v>
      </c>
      <c r="F598" s="12" t="s">
        <v>1210</v>
      </c>
      <c r="G598" s="9" t="s">
        <v>28</v>
      </c>
      <c r="H598" s="9" t="s">
        <v>13</v>
      </c>
      <c r="I598" s="13"/>
      <c r="J598" s="13"/>
      <c r="K598" s="14"/>
      <c r="L598" s="13"/>
      <c r="M598" s="14"/>
      <c r="N598" s="15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9">
        <v>597.0</v>
      </c>
      <c r="B599" s="10">
        <v>44063.0</v>
      </c>
      <c r="C599" s="9" t="s">
        <v>473</v>
      </c>
      <c r="D599" s="11" t="s">
        <v>1211</v>
      </c>
      <c r="E599" s="9">
        <v>9.710505225154E12</v>
      </c>
      <c r="F599" s="12" t="s">
        <v>1212</v>
      </c>
      <c r="G599" s="9" t="s">
        <v>176</v>
      </c>
      <c r="H599" s="9" t="s">
        <v>41</v>
      </c>
      <c r="I599" s="13"/>
      <c r="J599" s="13"/>
      <c r="K599" s="14"/>
      <c r="L599" s="13"/>
      <c r="M599" s="14"/>
      <c r="N599" s="15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9">
        <v>598.0</v>
      </c>
      <c r="B600" s="18">
        <v>44063.0</v>
      </c>
      <c r="C600" s="19" t="s">
        <v>309</v>
      </c>
      <c r="D600" s="11" t="s">
        <v>1213</v>
      </c>
      <c r="E600" s="19">
        <v>9.710566628215E12</v>
      </c>
      <c r="F600" s="12" t="s">
        <v>1214</v>
      </c>
      <c r="G600" s="19" t="s">
        <v>60</v>
      </c>
      <c r="H600" s="19" t="s">
        <v>13</v>
      </c>
      <c r="I600" s="13"/>
      <c r="J600" s="13"/>
      <c r="K600" s="20"/>
      <c r="L600" s="13"/>
      <c r="M600" s="20"/>
      <c r="N600" s="21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9">
        <v>599.0</v>
      </c>
      <c r="B601" s="10">
        <v>44063.0</v>
      </c>
      <c r="C601" s="9" t="s">
        <v>309</v>
      </c>
      <c r="D601" s="11" t="s">
        <v>1215</v>
      </c>
      <c r="E601" s="9">
        <v>9.710558546007E12</v>
      </c>
      <c r="F601" s="12" t="s">
        <v>1216</v>
      </c>
      <c r="G601" s="9" t="s">
        <v>134</v>
      </c>
      <c r="H601" s="9" t="s">
        <v>41</v>
      </c>
      <c r="I601" s="13"/>
      <c r="J601" s="13"/>
      <c r="K601" s="14"/>
      <c r="L601" s="13"/>
      <c r="M601" s="14"/>
      <c r="N601" s="15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9">
        <v>600.0</v>
      </c>
      <c r="B602" s="10">
        <v>44063.0</v>
      </c>
      <c r="C602" s="9" t="s">
        <v>309</v>
      </c>
      <c r="D602" s="11" t="s">
        <v>58</v>
      </c>
      <c r="E602" s="9">
        <v>9.71505069012E11</v>
      </c>
      <c r="F602" s="12" t="s">
        <v>1217</v>
      </c>
      <c r="G602" s="9" t="s">
        <v>364</v>
      </c>
      <c r="H602" s="9" t="s">
        <v>73</v>
      </c>
      <c r="I602" s="13"/>
      <c r="J602" s="13"/>
      <c r="K602" s="14"/>
      <c r="L602" s="13"/>
      <c r="M602" s="14"/>
      <c r="N602" s="15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9">
        <v>601.0</v>
      </c>
      <c r="B603" s="1"/>
      <c r="C603" s="1"/>
      <c r="D603" s="11" t="e">
        <v>#VALUE!</v>
      </c>
      <c r="E603" s="1"/>
      <c r="F603" s="1"/>
      <c r="G603" s="1"/>
      <c r="H603" s="1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9">
        <v>602.0</v>
      </c>
      <c r="B604" s="12" t="s">
        <v>43</v>
      </c>
      <c r="C604" s="1"/>
      <c r="D604" s="11" t="s">
        <v>1218</v>
      </c>
      <c r="E604" s="25" t="s">
        <v>42</v>
      </c>
      <c r="F604" s="9" t="s">
        <v>410</v>
      </c>
      <c r="G604" s="9" t="s">
        <v>41</v>
      </c>
      <c r="H604" s="10">
        <v>44063.0</v>
      </c>
      <c r="I604" s="13"/>
      <c r="J604" s="13"/>
      <c r="K604" s="15"/>
      <c r="L604" s="13"/>
      <c r="M604" s="15"/>
      <c r="N604" s="15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9">
        <v>603.0</v>
      </c>
      <c r="B605" s="10">
        <v>44062.0</v>
      </c>
      <c r="C605" s="9" t="s">
        <v>473</v>
      </c>
      <c r="D605" s="11" t="s">
        <v>38</v>
      </c>
      <c r="E605" s="9">
        <v>9.71050390909E12</v>
      </c>
      <c r="F605" s="12" t="s">
        <v>39</v>
      </c>
      <c r="G605" s="9" t="s">
        <v>60</v>
      </c>
      <c r="H605" s="9" t="s">
        <v>13</v>
      </c>
      <c r="I605" s="13"/>
      <c r="J605" s="13"/>
      <c r="K605" s="14"/>
      <c r="L605" s="13"/>
      <c r="M605" s="14"/>
      <c r="N605" s="15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9">
        <v>604.0</v>
      </c>
      <c r="B606" s="10">
        <v>44062.0</v>
      </c>
      <c r="C606" s="9" t="s">
        <v>309</v>
      </c>
      <c r="D606" s="11" t="s">
        <v>1219</v>
      </c>
      <c r="E606" s="9">
        <v>9.71565387339E11</v>
      </c>
      <c r="F606" s="12" t="s">
        <v>1220</v>
      </c>
      <c r="G606" s="9" t="s">
        <v>134</v>
      </c>
      <c r="H606" s="9" t="s">
        <v>260</v>
      </c>
      <c r="I606" s="13"/>
      <c r="J606" s="13"/>
      <c r="K606" s="14"/>
      <c r="L606" s="13"/>
      <c r="M606" s="14"/>
      <c r="N606" s="15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9">
        <v>605.0</v>
      </c>
      <c r="B607" s="10">
        <v>44062.0</v>
      </c>
      <c r="C607" s="9" t="s">
        <v>309</v>
      </c>
      <c r="D607" s="11" t="s">
        <v>132</v>
      </c>
      <c r="E607" s="9">
        <v>9.71529803982E11</v>
      </c>
      <c r="F607" s="12" t="s">
        <v>133</v>
      </c>
      <c r="G607" s="9" t="s">
        <v>1221</v>
      </c>
      <c r="H607" s="9" t="s">
        <v>41</v>
      </c>
      <c r="I607" s="13"/>
      <c r="J607" s="13"/>
      <c r="K607" s="14"/>
      <c r="L607" s="13"/>
      <c r="M607" s="14"/>
      <c r="N607" s="15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9">
        <v>606.0</v>
      </c>
      <c r="B608" s="10">
        <v>44062.0</v>
      </c>
      <c r="C608" s="9" t="s">
        <v>309</v>
      </c>
      <c r="D608" s="16" t="s">
        <v>1222</v>
      </c>
      <c r="E608" s="9">
        <v>9.710559198666E12</v>
      </c>
      <c r="F608" s="12" t="s">
        <v>1223</v>
      </c>
      <c r="G608" s="9" t="s">
        <v>176</v>
      </c>
      <c r="H608" s="9" t="s">
        <v>17</v>
      </c>
      <c r="I608" s="13"/>
      <c r="J608" s="13"/>
      <c r="K608" s="14"/>
      <c r="L608" s="13"/>
      <c r="M608" s="22"/>
      <c r="N608" s="15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9">
        <v>607.0</v>
      </c>
      <c r="B609" s="10">
        <v>44062.0</v>
      </c>
      <c r="C609" s="9" t="s">
        <v>309</v>
      </c>
      <c r="D609" s="11" t="s">
        <v>1224</v>
      </c>
      <c r="E609" s="9">
        <v>9.710555107101E12</v>
      </c>
      <c r="F609" s="12" t="s">
        <v>1225</v>
      </c>
      <c r="G609" s="9" t="s">
        <v>80</v>
      </c>
      <c r="H609" s="9" t="s">
        <v>81</v>
      </c>
      <c r="I609" s="13"/>
      <c r="J609" s="13"/>
      <c r="K609" s="14"/>
      <c r="L609" s="13"/>
      <c r="M609" s="14"/>
      <c r="N609" s="15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9">
        <v>608.0</v>
      </c>
      <c r="B610" s="10">
        <v>44061.0</v>
      </c>
      <c r="C610" s="9" t="s">
        <v>309</v>
      </c>
      <c r="D610" s="16" t="s">
        <v>1226</v>
      </c>
      <c r="E610" s="9">
        <v>9.710565614444E12</v>
      </c>
      <c r="F610" s="12" t="s">
        <v>1227</v>
      </c>
      <c r="G610" s="9" t="s">
        <v>25</v>
      </c>
      <c r="H610" s="9" t="s">
        <v>13</v>
      </c>
      <c r="I610" s="13"/>
      <c r="J610" s="13"/>
      <c r="K610" s="14"/>
      <c r="L610" s="13"/>
      <c r="M610" s="22"/>
      <c r="N610" s="15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9">
        <v>609.0</v>
      </c>
      <c r="B611" s="10">
        <v>44061.0</v>
      </c>
      <c r="C611" s="9" t="s">
        <v>309</v>
      </c>
      <c r="D611" s="11" t="s">
        <v>50</v>
      </c>
      <c r="E611" s="9">
        <v>9.710505079027E12</v>
      </c>
      <c r="F611" s="12" t="s">
        <v>1228</v>
      </c>
      <c r="G611" s="9" t="s">
        <v>300</v>
      </c>
      <c r="H611" s="9" t="s">
        <v>41</v>
      </c>
      <c r="I611" s="13"/>
      <c r="J611" s="13"/>
      <c r="K611" s="14"/>
      <c r="L611" s="13"/>
      <c r="M611" s="14"/>
      <c r="N611" s="15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9">
        <v>610.0</v>
      </c>
      <c r="B612" s="10">
        <v>44061.0</v>
      </c>
      <c r="C612" s="9" t="s">
        <v>309</v>
      </c>
      <c r="D612" s="11" t="s">
        <v>1229</v>
      </c>
      <c r="E612" s="9">
        <v>9.710507065621E12</v>
      </c>
      <c r="F612" s="12" t="s">
        <v>1230</v>
      </c>
      <c r="G612" s="9" t="s">
        <v>80</v>
      </c>
      <c r="H612" s="9" t="s">
        <v>81</v>
      </c>
      <c r="I612" s="13"/>
      <c r="J612" s="13"/>
      <c r="K612" s="14"/>
      <c r="L612" s="13"/>
      <c r="M612" s="14"/>
      <c r="N612" s="15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9">
        <v>611.0</v>
      </c>
      <c r="B613" s="10">
        <v>44061.0</v>
      </c>
      <c r="C613" s="9" t="s">
        <v>1206</v>
      </c>
      <c r="D613" s="16" t="s">
        <v>1231</v>
      </c>
      <c r="E613" s="9">
        <v>9.66560607071E11</v>
      </c>
      <c r="F613" s="12" t="s">
        <v>1232</v>
      </c>
      <c r="G613" s="9" t="s">
        <v>184</v>
      </c>
      <c r="H613" s="9" t="s">
        <v>13</v>
      </c>
      <c r="I613" s="13"/>
      <c r="J613" s="13"/>
      <c r="K613" s="14"/>
      <c r="L613" s="13"/>
      <c r="M613" s="22"/>
      <c r="N613" s="15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9">
        <v>612.0</v>
      </c>
      <c r="B614" s="10">
        <v>44061.0</v>
      </c>
      <c r="C614" s="9" t="s">
        <v>309</v>
      </c>
      <c r="D614" s="16" t="s">
        <v>1233</v>
      </c>
      <c r="E614" s="9">
        <v>9.710544500502E12</v>
      </c>
      <c r="F614" s="12" t="s">
        <v>1234</v>
      </c>
      <c r="G614" s="9" t="s">
        <v>25</v>
      </c>
      <c r="H614" s="9" t="s">
        <v>13</v>
      </c>
      <c r="I614" s="13"/>
      <c r="J614" s="13"/>
      <c r="K614" s="14"/>
      <c r="L614" s="13"/>
      <c r="M614" s="22"/>
      <c r="N614" s="15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9">
        <v>613.0</v>
      </c>
      <c r="B615" s="10">
        <v>44061.0</v>
      </c>
      <c r="C615" s="9" t="s">
        <v>309</v>
      </c>
      <c r="D615" s="11" t="s">
        <v>84</v>
      </c>
      <c r="E615" s="9">
        <v>9.710581040855E12</v>
      </c>
      <c r="F615" s="12" t="s">
        <v>1235</v>
      </c>
      <c r="G615" s="9" t="s">
        <v>176</v>
      </c>
      <c r="H615" s="9" t="s">
        <v>260</v>
      </c>
      <c r="I615" s="13"/>
      <c r="J615" s="13"/>
      <c r="K615" s="14"/>
      <c r="L615" s="13"/>
      <c r="M615" s="14"/>
      <c r="N615" s="15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9">
        <v>614.0</v>
      </c>
      <c r="B616" s="10">
        <v>44061.0</v>
      </c>
      <c r="C616" s="9" t="s">
        <v>47</v>
      </c>
      <c r="D616" s="16" t="s">
        <v>239</v>
      </c>
      <c r="E616" s="9">
        <v>9.710566266228E12</v>
      </c>
      <c r="F616" s="12" t="s">
        <v>1236</v>
      </c>
      <c r="G616" s="9" t="s">
        <v>12</v>
      </c>
      <c r="H616" s="9" t="s">
        <v>17</v>
      </c>
      <c r="I616" s="13"/>
      <c r="J616" s="13"/>
      <c r="K616" s="14"/>
      <c r="L616" s="13"/>
      <c r="M616" s="22"/>
      <c r="N616" s="15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9">
        <v>615.0</v>
      </c>
      <c r="B617" s="10">
        <v>44061.0</v>
      </c>
      <c r="C617" s="9" t="s">
        <v>309</v>
      </c>
      <c r="D617" s="11" t="s">
        <v>1237</v>
      </c>
      <c r="E617" s="9">
        <v>9.710509928959E12</v>
      </c>
      <c r="F617" s="12" t="s">
        <v>1238</v>
      </c>
      <c r="G617" s="9" t="s">
        <v>176</v>
      </c>
      <c r="H617" s="9" t="s">
        <v>41</v>
      </c>
      <c r="I617" s="13"/>
      <c r="J617" s="13"/>
      <c r="K617" s="14"/>
      <c r="L617" s="13"/>
      <c r="M617" s="14"/>
      <c r="N617" s="15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9">
        <v>616.0</v>
      </c>
      <c r="B618" s="10">
        <v>44061.0</v>
      </c>
      <c r="C618" s="9" t="s">
        <v>473</v>
      </c>
      <c r="D618" s="11" t="s">
        <v>69</v>
      </c>
      <c r="E618" s="9">
        <v>9.71505187074E11</v>
      </c>
      <c r="F618" s="12" t="s">
        <v>70</v>
      </c>
      <c r="G618" s="9" t="s">
        <v>176</v>
      </c>
      <c r="H618" s="9" t="s">
        <v>81</v>
      </c>
      <c r="I618" s="13"/>
      <c r="J618" s="13"/>
      <c r="K618" s="14"/>
      <c r="L618" s="13"/>
      <c r="M618" s="14"/>
      <c r="N618" s="15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9">
        <v>617.0</v>
      </c>
      <c r="B619" s="10">
        <v>44061.0</v>
      </c>
      <c r="C619" s="9" t="s">
        <v>309</v>
      </c>
      <c r="D619" s="11" t="s">
        <v>1239</v>
      </c>
      <c r="E619" s="9">
        <v>9.710521481516E12</v>
      </c>
      <c r="F619" s="12" t="s">
        <v>1240</v>
      </c>
      <c r="G619" s="9" t="s">
        <v>134</v>
      </c>
      <c r="H619" s="9" t="s">
        <v>337</v>
      </c>
      <c r="I619" s="13"/>
      <c r="J619" s="13"/>
      <c r="K619" s="14"/>
      <c r="L619" s="13"/>
      <c r="M619" s="14"/>
      <c r="N619" s="15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9">
        <v>618.0</v>
      </c>
      <c r="B620" s="10">
        <v>44061.0</v>
      </c>
      <c r="C620" s="9" t="s">
        <v>309</v>
      </c>
      <c r="D620" s="11" t="s">
        <v>1241</v>
      </c>
      <c r="E620" s="9">
        <v>9.710554772348E12</v>
      </c>
      <c r="F620" s="12" t="s">
        <v>1242</v>
      </c>
      <c r="G620" s="9" t="s">
        <v>176</v>
      </c>
      <c r="H620" s="9" t="s">
        <v>41</v>
      </c>
      <c r="I620" s="13"/>
      <c r="J620" s="13"/>
      <c r="K620" s="14"/>
      <c r="L620" s="13"/>
      <c r="M620" s="14"/>
      <c r="N620" s="15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9">
        <v>619.0</v>
      </c>
      <c r="B621" s="10">
        <v>44060.0</v>
      </c>
      <c r="C621" s="9" t="s">
        <v>309</v>
      </c>
      <c r="D621" s="11" t="s">
        <v>1243</v>
      </c>
      <c r="E621" s="9">
        <v>9.710586121007E12</v>
      </c>
      <c r="F621" s="12" t="s">
        <v>1244</v>
      </c>
      <c r="G621" s="9" t="s">
        <v>12</v>
      </c>
      <c r="H621" s="9" t="s">
        <v>337</v>
      </c>
      <c r="I621" s="13"/>
      <c r="J621" s="13"/>
      <c r="K621" s="14"/>
      <c r="L621" s="13"/>
      <c r="M621" s="14"/>
      <c r="N621" s="15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9">
        <v>620.0</v>
      </c>
      <c r="B622" s="10">
        <v>44060.0</v>
      </c>
      <c r="C622" s="9" t="s">
        <v>309</v>
      </c>
      <c r="D622" s="11" t="s">
        <v>1245</v>
      </c>
      <c r="E622" s="9">
        <v>9.710504730073E12</v>
      </c>
      <c r="F622" s="12" t="s">
        <v>1246</v>
      </c>
      <c r="G622" s="9" t="s">
        <v>60</v>
      </c>
      <c r="H622" s="9" t="s">
        <v>21</v>
      </c>
      <c r="I622" s="13"/>
      <c r="J622" s="13"/>
      <c r="K622" s="14"/>
      <c r="L622" s="13"/>
      <c r="M622" s="14"/>
      <c r="N622" s="15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9">
        <v>621.0</v>
      </c>
      <c r="B623" s="10">
        <v>44060.0</v>
      </c>
      <c r="C623" s="9" t="s">
        <v>309</v>
      </c>
      <c r="D623" s="11" t="s">
        <v>1247</v>
      </c>
      <c r="E623" s="9">
        <v>9.710507377664E12</v>
      </c>
      <c r="F623" s="12" t="s">
        <v>1248</v>
      </c>
      <c r="G623" s="9" t="s">
        <v>181</v>
      </c>
      <c r="H623" s="9" t="s">
        <v>17</v>
      </c>
      <c r="I623" s="13"/>
      <c r="J623" s="13"/>
      <c r="K623" s="14"/>
      <c r="L623" s="13"/>
      <c r="M623" s="14"/>
      <c r="N623" s="15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9">
        <v>622.0</v>
      </c>
      <c r="B624" s="10">
        <v>44060.0</v>
      </c>
      <c r="C624" s="9" t="s">
        <v>309</v>
      </c>
      <c r="D624" s="11" t="s">
        <v>1249</v>
      </c>
      <c r="E624" s="9">
        <v>9.710528916418E12</v>
      </c>
      <c r="F624" s="12" t="s">
        <v>1250</v>
      </c>
      <c r="G624" s="9" t="s">
        <v>52</v>
      </c>
      <c r="H624" s="9" t="s">
        <v>654</v>
      </c>
      <c r="I624" s="13"/>
      <c r="J624" s="13"/>
      <c r="K624" s="14"/>
      <c r="L624" s="13"/>
      <c r="M624" s="14"/>
      <c r="N624" s="15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9">
        <v>623.0</v>
      </c>
      <c r="B625" s="10">
        <v>44060.0</v>
      </c>
      <c r="C625" s="9" t="s">
        <v>309</v>
      </c>
      <c r="D625" s="11" t="s">
        <v>1251</v>
      </c>
      <c r="E625" s="9">
        <v>9.710586519857E12</v>
      </c>
      <c r="F625" s="12" t="s">
        <v>1252</v>
      </c>
      <c r="G625" s="9" t="s">
        <v>52</v>
      </c>
      <c r="H625" s="9" t="s">
        <v>73</v>
      </c>
      <c r="I625" s="13"/>
      <c r="J625" s="13"/>
      <c r="K625" s="14"/>
      <c r="L625" s="13"/>
      <c r="M625" s="14"/>
      <c r="N625" s="15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9">
        <v>624.0</v>
      </c>
      <c r="B626" s="10">
        <v>44060.0</v>
      </c>
      <c r="C626" s="9" t="s">
        <v>473</v>
      </c>
      <c r="D626" s="11" t="s">
        <v>1253</v>
      </c>
      <c r="E626" s="9">
        <v>9.710501777279E12</v>
      </c>
      <c r="F626" s="12" t="s">
        <v>1254</v>
      </c>
      <c r="G626" s="9" t="s">
        <v>80</v>
      </c>
      <c r="H626" s="9" t="s">
        <v>81</v>
      </c>
      <c r="I626" s="13"/>
      <c r="J626" s="13"/>
      <c r="K626" s="14"/>
      <c r="L626" s="13"/>
      <c r="M626" s="14"/>
      <c r="N626" s="15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9">
        <v>625.0</v>
      </c>
      <c r="B627" s="10">
        <v>44060.0</v>
      </c>
      <c r="C627" s="9" t="s">
        <v>473</v>
      </c>
      <c r="D627" s="11" t="s">
        <v>90</v>
      </c>
      <c r="E627" s="9">
        <v>9.710505447978E12</v>
      </c>
      <c r="F627" s="12" t="s">
        <v>91</v>
      </c>
      <c r="G627" s="9" t="s">
        <v>176</v>
      </c>
      <c r="H627" s="9" t="s">
        <v>81</v>
      </c>
      <c r="I627" s="13"/>
      <c r="J627" s="13"/>
      <c r="K627" s="14"/>
      <c r="L627" s="13"/>
      <c r="M627" s="14"/>
      <c r="N627" s="15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9">
        <v>626.0</v>
      </c>
      <c r="B628" s="10">
        <v>44060.0</v>
      </c>
      <c r="C628" s="9" t="s">
        <v>309</v>
      </c>
      <c r="D628" s="11" t="s">
        <v>1255</v>
      </c>
      <c r="E628" s="9">
        <v>9710501.0</v>
      </c>
      <c r="F628" s="12" t="s">
        <v>1256</v>
      </c>
      <c r="G628" s="9" t="s">
        <v>176</v>
      </c>
      <c r="H628" s="9" t="s">
        <v>81</v>
      </c>
      <c r="I628" s="13"/>
      <c r="J628" s="13"/>
      <c r="K628" s="14"/>
      <c r="L628" s="13"/>
      <c r="M628" s="14"/>
      <c r="N628" s="15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9">
        <v>627.0</v>
      </c>
      <c r="B629" s="10">
        <v>44060.0</v>
      </c>
      <c r="C629" s="9" t="s">
        <v>309</v>
      </c>
      <c r="D629" s="11" t="s">
        <v>1257</v>
      </c>
      <c r="E629" s="9">
        <v>9.710529426504E12</v>
      </c>
      <c r="F629" s="12" t="s">
        <v>1258</v>
      </c>
      <c r="G629" s="9" t="s">
        <v>176</v>
      </c>
      <c r="H629" s="9" t="s">
        <v>41</v>
      </c>
      <c r="I629" s="13"/>
      <c r="J629" s="13"/>
      <c r="K629" s="14"/>
      <c r="L629" s="13"/>
      <c r="M629" s="14"/>
      <c r="N629" s="15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9">
        <v>628.0</v>
      </c>
      <c r="B630" s="10">
        <v>44060.0</v>
      </c>
      <c r="C630" s="9" t="s">
        <v>309</v>
      </c>
      <c r="D630" s="11" t="s">
        <v>101</v>
      </c>
      <c r="E630" s="9">
        <v>9.710566588129E12</v>
      </c>
      <c r="F630" s="12" t="s">
        <v>102</v>
      </c>
      <c r="G630" s="9" t="s">
        <v>12</v>
      </c>
      <c r="H630" s="9" t="s">
        <v>13</v>
      </c>
      <c r="I630" s="13"/>
      <c r="J630" s="13"/>
      <c r="K630" s="14"/>
      <c r="L630" s="13"/>
      <c r="M630" s="14"/>
      <c r="N630" s="15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9">
        <v>629.0</v>
      </c>
      <c r="B631" s="10">
        <v>44060.0</v>
      </c>
      <c r="C631" s="9" t="s">
        <v>309</v>
      </c>
      <c r="D631" s="11" t="s">
        <v>99</v>
      </c>
      <c r="E631" s="9">
        <v>9.710509922267E12</v>
      </c>
      <c r="F631" s="12" t="s">
        <v>100</v>
      </c>
      <c r="G631" s="9" t="s">
        <v>12</v>
      </c>
      <c r="H631" s="9" t="s">
        <v>13</v>
      </c>
      <c r="I631" s="13"/>
      <c r="J631" s="13"/>
      <c r="K631" s="14"/>
      <c r="L631" s="13"/>
      <c r="M631" s="14"/>
      <c r="N631" s="15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9">
        <v>630.0</v>
      </c>
      <c r="B632" s="10">
        <v>44059.0</v>
      </c>
      <c r="C632" s="9" t="s">
        <v>309</v>
      </c>
      <c r="D632" s="11" t="s">
        <v>707</v>
      </c>
      <c r="E632" s="9">
        <v>9.71558746136E11</v>
      </c>
      <c r="F632" s="12" t="s">
        <v>1259</v>
      </c>
      <c r="G632" s="9" t="s">
        <v>364</v>
      </c>
      <c r="H632" s="9" t="s">
        <v>73</v>
      </c>
      <c r="I632" s="13"/>
      <c r="J632" s="13"/>
      <c r="K632" s="14"/>
      <c r="L632" s="13"/>
      <c r="M632" s="14"/>
      <c r="N632" s="15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9">
        <v>631.0</v>
      </c>
      <c r="B633" s="10">
        <v>44059.0</v>
      </c>
      <c r="C633" s="9" t="s">
        <v>309</v>
      </c>
      <c r="D633" s="16" t="s">
        <v>1260</v>
      </c>
      <c r="E633" s="9">
        <v>9.710547822229E12</v>
      </c>
      <c r="F633" s="12" t="s">
        <v>1261</v>
      </c>
      <c r="G633" s="9" t="s">
        <v>25</v>
      </c>
      <c r="H633" s="9" t="s">
        <v>13</v>
      </c>
      <c r="I633" s="13"/>
      <c r="J633" s="13"/>
      <c r="K633" s="14"/>
      <c r="L633" s="13"/>
      <c r="M633" s="22"/>
      <c r="N633" s="15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9">
        <v>632.0</v>
      </c>
      <c r="B634" s="10">
        <v>44059.0</v>
      </c>
      <c r="C634" s="9" t="s">
        <v>47</v>
      </c>
      <c r="D634" s="11" t="s">
        <v>1262</v>
      </c>
      <c r="E634" s="9">
        <v>9.7105031701E12</v>
      </c>
      <c r="F634" s="12" t="s">
        <v>1263</v>
      </c>
      <c r="G634" s="9" t="s">
        <v>176</v>
      </c>
      <c r="H634" s="9" t="s">
        <v>41</v>
      </c>
      <c r="I634" s="13"/>
      <c r="J634" s="13"/>
      <c r="K634" s="14"/>
      <c r="L634" s="13"/>
      <c r="M634" s="14"/>
      <c r="N634" s="15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9">
        <v>633.0</v>
      </c>
      <c r="B635" s="10">
        <v>44059.0</v>
      </c>
      <c r="C635" s="9" t="s">
        <v>309</v>
      </c>
      <c r="D635" s="11" t="s">
        <v>67</v>
      </c>
      <c r="E635" s="9">
        <v>9.71553788891E11</v>
      </c>
      <c r="F635" s="12" t="s">
        <v>68</v>
      </c>
      <c r="G635" s="9" t="s">
        <v>12</v>
      </c>
      <c r="H635" s="9" t="s">
        <v>17</v>
      </c>
      <c r="I635" s="13"/>
      <c r="J635" s="13"/>
      <c r="K635" s="14"/>
      <c r="L635" s="13"/>
      <c r="M635" s="14"/>
      <c r="N635" s="15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9">
        <v>634.0</v>
      </c>
      <c r="B636" s="10">
        <v>44059.0</v>
      </c>
      <c r="C636" s="9" t="s">
        <v>1206</v>
      </c>
      <c r="D636" s="11" t="s">
        <v>74</v>
      </c>
      <c r="E636" s="9">
        <v>9.66542315569E11</v>
      </c>
      <c r="F636" s="12" t="s">
        <v>75</v>
      </c>
      <c r="G636" s="9" t="s">
        <v>184</v>
      </c>
      <c r="H636" s="9" t="s">
        <v>13</v>
      </c>
      <c r="I636" s="13"/>
      <c r="J636" s="13"/>
      <c r="K636" s="14"/>
      <c r="L636" s="13"/>
      <c r="M636" s="14"/>
      <c r="N636" s="15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9">
        <v>635.0</v>
      </c>
      <c r="B637" s="10">
        <v>44059.0</v>
      </c>
      <c r="C637" s="9" t="s">
        <v>1206</v>
      </c>
      <c r="D637" s="16" t="s">
        <v>76</v>
      </c>
      <c r="E637" s="9">
        <v>9.66555158852E11</v>
      </c>
      <c r="F637" s="12" t="s">
        <v>77</v>
      </c>
      <c r="G637" s="9" t="s">
        <v>184</v>
      </c>
      <c r="H637" s="9" t="s">
        <v>13</v>
      </c>
      <c r="I637" s="13"/>
      <c r="J637" s="13"/>
      <c r="K637" s="14"/>
      <c r="L637" s="13"/>
      <c r="M637" s="22"/>
      <c r="N637" s="15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9">
        <v>636.0</v>
      </c>
      <c r="B638" s="10">
        <v>44058.0</v>
      </c>
      <c r="C638" s="9" t="s">
        <v>309</v>
      </c>
      <c r="D638" s="16" t="s">
        <v>1264</v>
      </c>
      <c r="E638" s="9">
        <v>9.71551000081E11</v>
      </c>
      <c r="F638" s="12" t="s">
        <v>1265</v>
      </c>
      <c r="G638" s="9" t="s">
        <v>20</v>
      </c>
      <c r="H638" s="9" t="s">
        <v>13</v>
      </c>
      <c r="I638" s="13"/>
      <c r="J638" s="13"/>
      <c r="K638" s="14"/>
      <c r="L638" s="13"/>
      <c r="M638" s="22"/>
      <c r="N638" s="15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9">
        <v>637.0</v>
      </c>
      <c r="B639" s="10">
        <v>44058.0</v>
      </c>
      <c r="C639" s="9" t="s">
        <v>47</v>
      </c>
      <c r="D639" s="11" t="s">
        <v>1266</v>
      </c>
      <c r="E639" s="17">
        <f>+971504510671</f>
        <v>971504510671</v>
      </c>
      <c r="F639" s="12" t="s">
        <v>1267</v>
      </c>
      <c r="G639" s="9" t="s">
        <v>60</v>
      </c>
      <c r="H639" s="9" t="s">
        <v>17</v>
      </c>
      <c r="I639" s="13"/>
      <c r="J639" s="13"/>
      <c r="K639" s="14"/>
      <c r="L639" s="13"/>
      <c r="M639" s="14"/>
      <c r="N639" s="15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9">
        <v>638.0</v>
      </c>
      <c r="B640" s="10">
        <v>44058.0</v>
      </c>
      <c r="C640" s="9" t="s">
        <v>309</v>
      </c>
      <c r="D640" s="11" t="s">
        <v>139</v>
      </c>
      <c r="E640" s="9">
        <v>9.710561115582E12</v>
      </c>
      <c r="F640" s="12" t="s">
        <v>140</v>
      </c>
      <c r="G640" s="9" t="s">
        <v>80</v>
      </c>
      <c r="H640" s="9" t="s">
        <v>17</v>
      </c>
      <c r="I640" s="13"/>
      <c r="J640" s="13"/>
      <c r="K640" s="14"/>
      <c r="L640" s="13"/>
      <c r="M640" s="14"/>
      <c r="N640" s="15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9">
        <v>639.0</v>
      </c>
      <c r="B641" s="10">
        <v>44058.0</v>
      </c>
      <c r="C641" s="9" t="s">
        <v>309</v>
      </c>
      <c r="D641" s="11" t="s">
        <v>58</v>
      </c>
      <c r="E641" s="9">
        <v>3.20479191919E11</v>
      </c>
      <c r="F641" s="12" t="s">
        <v>137</v>
      </c>
      <c r="G641" s="9" t="s">
        <v>300</v>
      </c>
      <c r="H641" s="9" t="s">
        <v>41</v>
      </c>
      <c r="I641" s="13"/>
      <c r="J641" s="13"/>
      <c r="K641" s="14"/>
      <c r="L641" s="13"/>
      <c r="M641" s="14"/>
      <c r="N641" s="15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9">
        <v>640.0</v>
      </c>
      <c r="B642" s="10">
        <v>44058.0</v>
      </c>
      <c r="C642" s="9" t="s">
        <v>1206</v>
      </c>
      <c r="D642" s="11" t="s">
        <v>141</v>
      </c>
      <c r="E642" s="9">
        <v>9.6656790901E11</v>
      </c>
      <c r="F642" s="12" t="s">
        <v>142</v>
      </c>
      <c r="G642" s="9" t="s">
        <v>184</v>
      </c>
      <c r="H642" s="9" t="s">
        <v>13</v>
      </c>
      <c r="I642" s="13"/>
      <c r="J642" s="13"/>
      <c r="K642" s="14"/>
      <c r="L642" s="13"/>
      <c r="M642" s="14"/>
      <c r="N642" s="15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9">
        <v>641.0</v>
      </c>
      <c r="B643" s="10">
        <v>44057.0</v>
      </c>
      <c r="C643" s="9" t="s">
        <v>309</v>
      </c>
      <c r="D643" s="16" t="s">
        <v>1268</v>
      </c>
      <c r="E643" s="9">
        <v>9.71050666844E12</v>
      </c>
      <c r="F643" s="12" t="s">
        <v>1269</v>
      </c>
      <c r="G643" s="9" t="s">
        <v>400</v>
      </c>
      <c r="H643" s="9" t="s">
        <v>17</v>
      </c>
      <c r="I643" s="13"/>
      <c r="J643" s="13"/>
      <c r="K643" s="14"/>
      <c r="L643" s="13"/>
      <c r="M643" s="22"/>
      <c r="N643" s="15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9">
        <v>642.0</v>
      </c>
      <c r="B644" s="10">
        <v>44057.0</v>
      </c>
      <c r="C644" s="9" t="s">
        <v>309</v>
      </c>
      <c r="D644" s="16" t="s">
        <v>1270</v>
      </c>
      <c r="E644" s="9">
        <v>9.710509091114E12</v>
      </c>
      <c r="F644" s="12" t="s">
        <v>1271</v>
      </c>
      <c r="G644" s="9" t="s">
        <v>52</v>
      </c>
      <c r="H644" s="9" t="s">
        <v>41</v>
      </c>
      <c r="I644" s="13"/>
      <c r="J644" s="13"/>
      <c r="K644" s="14"/>
      <c r="L644" s="13"/>
      <c r="M644" s="22"/>
      <c r="N644" s="15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9">
        <v>643.0</v>
      </c>
      <c r="B645" s="10">
        <v>44057.0</v>
      </c>
      <c r="C645" s="9" t="s">
        <v>309</v>
      </c>
      <c r="D645" s="16" t="s">
        <v>1272</v>
      </c>
      <c r="E645" s="9">
        <v>9.71561451111E11</v>
      </c>
      <c r="F645" s="12" t="s">
        <v>1273</v>
      </c>
      <c r="G645" s="9" t="s">
        <v>627</v>
      </c>
      <c r="H645" s="9" t="s">
        <v>13</v>
      </c>
      <c r="I645" s="13"/>
      <c r="J645" s="13"/>
      <c r="K645" s="14"/>
      <c r="L645" s="13"/>
      <c r="M645" s="22"/>
      <c r="N645" s="15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9">
        <v>644.0</v>
      </c>
      <c r="B646" s="10">
        <v>44057.0</v>
      </c>
      <c r="C646" s="9" t="s">
        <v>309</v>
      </c>
      <c r="D646" s="16" t="s">
        <v>1190</v>
      </c>
      <c r="E646" s="9">
        <v>9.710528522225E12</v>
      </c>
      <c r="F646" s="12" t="s">
        <v>1274</v>
      </c>
      <c r="G646" s="9" t="s">
        <v>181</v>
      </c>
      <c r="H646" s="9" t="s">
        <v>17</v>
      </c>
      <c r="I646" s="13"/>
      <c r="J646" s="13"/>
      <c r="K646" s="14"/>
      <c r="L646" s="13"/>
      <c r="M646" s="22"/>
      <c r="N646" s="15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9">
        <v>645.0</v>
      </c>
      <c r="B647" s="10">
        <v>44057.0</v>
      </c>
      <c r="C647" s="9" t="s">
        <v>309</v>
      </c>
      <c r="D647" s="16" t="s">
        <v>1275</v>
      </c>
      <c r="E647" s="9">
        <v>9.6560650688E10</v>
      </c>
      <c r="F647" s="12" t="s">
        <v>1276</v>
      </c>
      <c r="G647" s="9" t="s">
        <v>80</v>
      </c>
      <c r="H647" s="9" t="s">
        <v>41</v>
      </c>
      <c r="I647" s="13"/>
      <c r="J647" s="13"/>
      <c r="K647" s="14"/>
      <c r="L647" s="13"/>
      <c r="M647" s="22"/>
      <c r="N647" s="15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9">
        <v>646.0</v>
      </c>
      <c r="B648" s="10">
        <v>44057.0</v>
      </c>
      <c r="C648" s="9" t="s">
        <v>309</v>
      </c>
      <c r="D648" s="16" t="s">
        <v>1277</v>
      </c>
      <c r="E648" s="9">
        <v>9.7105012319E12</v>
      </c>
      <c r="F648" s="12" t="s">
        <v>1278</v>
      </c>
      <c r="G648" s="9" t="s">
        <v>176</v>
      </c>
      <c r="H648" s="9" t="s">
        <v>206</v>
      </c>
      <c r="I648" s="13"/>
      <c r="J648" s="13"/>
      <c r="K648" s="14"/>
      <c r="L648" s="13"/>
      <c r="M648" s="22"/>
      <c r="N648" s="15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9">
        <v>647.0</v>
      </c>
      <c r="B649" s="10">
        <v>44057.0</v>
      </c>
      <c r="C649" s="9" t="s">
        <v>309</v>
      </c>
      <c r="D649" s="11" t="s">
        <v>298</v>
      </c>
      <c r="E649" s="9">
        <v>9.710506572721E12</v>
      </c>
      <c r="F649" s="12" t="s">
        <v>1279</v>
      </c>
      <c r="G649" s="9" t="s">
        <v>176</v>
      </c>
      <c r="H649" s="9" t="s">
        <v>41</v>
      </c>
      <c r="I649" s="13"/>
      <c r="J649" s="13"/>
      <c r="K649" s="14"/>
      <c r="L649" s="13"/>
      <c r="M649" s="14"/>
      <c r="N649" s="15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9">
        <v>648.0</v>
      </c>
      <c r="B650" s="10">
        <v>44056.0</v>
      </c>
      <c r="C650" s="9" t="s">
        <v>309</v>
      </c>
      <c r="D650" s="16" t="s">
        <v>159</v>
      </c>
      <c r="E650" s="9">
        <v>9.710507799987E12</v>
      </c>
      <c r="F650" s="12" t="s">
        <v>160</v>
      </c>
      <c r="G650" s="9" t="s">
        <v>176</v>
      </c>
      <c r="H650" s="9" t="s">
        <v>17</v>
      </c>
      <c r="I650" s="13"/>
      <c r="J650" s="13"/>
      <c r="K650" s="14"/>
      <c r="L650" s="13"/>
      <c r="M650" s="22"/>
      <c r="N650" s="15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9">
        <v>649.0</v>
      </c>
      <c r="B651" s="10">
        <v>44056.0</v>
      </c>
      <c r="C651" s="9" t="s">
        <v>309</v>
      </c>
      <c r="D651" s="16" t="s">
        <v>157</v>
      </c>
      <c r="E651" s="9">
        <v>9.710501227553E12</v>
      </c>
      <c r="F651" s="12" t="s">
        <v>158</v>
      </c>
      <c r="G651" s="9" t="s">
        <v>80</v>
      </c>
      <c r="H651" s="9" t="s">
        <v>17</v>
      </c>
      <c r="I651" s="13"/>
      <c r="J651" s="13"/>
      <c r="K651" s="14"/>
      <c r="L651" s="13"/>
      <c r="M651" s="22"/>
      <c r="N651" s="15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9">
        <v>650.0</v>
      </c>
      <c r="B652" s="10">
        <v>44056.0</v>
      </c>
      <c r="C652" s="9" t="s">
        <v>309</v>
      </c>
      <c r="D652" s="16" t="s">
        <v>1280</v>
      </c>
      <c r="E652" s="9">
        <v>9.71050680609E12</v>
      </c>
      <c r="F652" s="12" t="s">
        <v>1281</v>
      </c>
      <c r="G652" s="9" t="s">
        <v>12</v>
      </c>
      <c r="H652" s="9" t="s">
        <v>13</v>
      </c>
      <c r="I652" s="13"/>
      <c r="J652" s="13"/>
      <c r="K652" s="14"/>
      <c r="L652" s="13"/>
      <c r="M652" s="22"/>
      <c r="N652" s="15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9">
        <v>651.0</v>
      </c>
      <c r="B653" s="10">
        <v>44055.0</v>
      </c>
      <c r="C653" s="9" t="s">
        <v>309</v>
      </c>
      <c r="D653" s="16" t="s">
        <v>1282</v>
      </c>
      <c r="E653" s="9">
        <v>9.71507401452E11</v>
      </c>
      <c r="F653" s="12" t="s">
        <v>1283</v>
      </c>
      <c r="G653" s="9" t="s">
        <v>176</v>
      </c>
      <c r="H653" s="9" t="s">
        <v>17</v>
      </c>
      <c r="I653" s="13"/>
      <c r="J653" s="13"/>
      <c r="K653" s="14"/>
      <c r="L653" s="13"/>
      <c r="M653" s="22"/>
      <c r="N653" s="15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9">
        <v>652.0</v>
      </c>
      <c r="B654" s="10">
        <v>44055.0</v>
      </c>
      <c r="C654" s="9" t="s">
        <v>309</v>
      </c>
      <c r="D654" s="16" t="s">
        <v>1284</v>
      </c>
      <c r="E654" s="9">
        <v>9.71544117759E11</v>
      </c>
      <c r="F654" s="12" t="s">
        <v>1285</v>
      </c>
      <c r="G654" s="9" t="s">
        <v>80</v>
      </c>
      <c r="H654" s="9" t="s">
        <v>81</v>
      </c>
      <c r="I654" s="13"/>
      <c r="J654" s="13"/>
      <c r="K654" s="14"/>
      <c r="L654" s="13"/>
      <c r="M654" s="22"/>
      <c r="N654" s="15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9">
        <v>653.0</v>
      </c>
      <c r="B655" s="10">
        <v>44055.0</v>
      </c>
      <c r="C655" s="9" t="s">
        <v>309</v>
      </c>
      <c r="D655" s="16" t="s">
        <v>1286</v>
      </c>
      <c r="E655" s="9">
        <v>9.710562686474E12</v>
      </c>
      <c r="F655" s="12" t="s">
        <v>1287</v>
      </c>
      <c r="G655" s="9" t="s">
        <v>400</v>
      </c>
      <c r="H655" s="9" t="s">
        <v>41</v>
      </c>
      <c r="I655" s="13"/>
      <c r="J655" s="13"/>
      <c r="K655" s="14"/>
      <c r="L655" s="13"/>
      <c r="M655" s="22"/>
      <c r="N655" s="15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9">
        <v>654.0</v>
      </c>
      <c r="B656" s="10">
        <v>44055.0</v>
      </c>
      <c r="C656" s="9" t="s">
        <v>47</v>
      </c>
      <c r="D656" s="11" t="s">
        <v>292</v>
      </c>
      <c r="E656" s="17">
        <f>+971506647110</f>
        <v>971506647110</v>
      </c>
      <c r="F656" s="12" t="s">
        <v>293</v>
      </c>
      <c r="G656" s="9" t="s">
        <v>190</v>
      </c>
      <c r="H656" s="9" t="s">
        <v>13</v>
      </c>
      <c r="I656" s="13"/>
      <c r="J656" s="13"/>
      <c r="K656" s="14"/>
      <c r="L656" s="13"/>
      <c r="M656" s="14"/>
      <c r="N656" s="15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9">
        <v>655.0</v>
      </c>
      <c r="B657" s="10">
        <v>44055.0</v>
      </c>
      <c r="C657" s="9" t="s">
        <v>309</v>
      </c>
      <c r="D657" s="11" t="s">
        <v>1288</v>
      </c>
      <c r="E657" s="9">
        <v>9.71050239064E12</v>
      </c>
      <c r="F657" s="12" t="s">
        <v>1289</v>
      </c>
      <c r="G657" s="9" t="s">
        <v>176</v>
      </c>
      <c r="H657" s="9" t="s">
        <v>21</v>
      </c>
      <c r="I657" s="13"/>
      <c r="J657" s="13"/>
      <c r="K657" s="14"/>
      <c r="L657" s="13"/>
      <c r="M657" s="14"/>
      <c r="N657" s="15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9">
        <v>656.0</v>
      </c>
      <c r="B658" s="10">
        <v>44055.0</v>
      </c>
      <c r="C658" s="9" t="s">
        <v>309</v>
      </c>
      <c r="D658" s="11" t="s">
        <v>1290</v>
      </c>
      <c r="E658" s="9">
        <v>9.710506529756E12</v>
      </c>
      <c r="F658" s="12" t="s">
        <v>1291</v>
      </c>
      <c r="G658" s="9" t="s">
        <v>176</v>
      </c>
      <c r="H658" s="9" t="s">
        <v>41</v>
      </c>
      <c r="I658" s="13"/>
      <c r="J658" s="13"/>
      <c r="K658" s="14"/>
      <c r="L658" s="13"/>
      <c r="M658" s="14"/>
      <c r="N658" s="15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9">
        <v>657.0</v>
      </c>
      <c r="B659" s="10">
        <v>44055.0</v>
      </c>
      <c r="C659" s="9" t="s">
        <v>47</v>
      </c>
      <c r="D659" s="11" t="s">
        <v>301</v>
      </c>
      <c r="E659" s="17">
        <f>+971566552666</f>
        <v>971566552666</v>
      </c>
      <c r="F659" s="12" t="s">
        <v>302</v>
      </c>
      <c r="G659" s="9" t="s">
        <v>176</v>
      </c>
      <c r="H659" s="9" t="s">
        <v>41</v>
      </c>
      <c r="I659" s="13"/>
      <c r="J659" s="13"/>
      <c r="K659" s="14"/>
      <c r="L659" s="13"/>
      <c r="M659" s="14"/>
      <c r="N659" s="15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9">
        <v>658.0</v>
      </c>
      <c r="B660" s="10">
        <v>44054.0</v>
      </c>
      <c r="C660" s="9" t="s">
        <v>47</v>
      </c>
      <c r="D660" s="11" t="s">
        <v>1292</v>
      </c>
      <c r="E660" s="17">
        <f>+971507850484</f>
        <v>971507850484</v>
      </c>
      <c r="F660" s="12" t="s">
        <v>1293</v>
      </c>
      <c r="G660" s="9" t="s">
        <v>35</v>
      </c>
      <c r="H660" s="9" t="s">
        <v>206</v>
      </c>
      <c r="I660" s="13"/>
      <c r="J660" s="13"/>
      <c r="K660" s="14"/>
      <c r="L660" s="13"/>
      <c r="M660" s="14"/>
      <c r="N660" s="15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9">
        <v>659.0</v>
      </c>
      <c r="B661" s="10">
        <v>44054.0</v>
      </c>
      <c r="C661" s="9" t="s">
        <v>47</v>
      </c>
      <c r="D661" s="11" t="s">
        <v>1294</v>
      </c>
      <c r="E661" s="17">
        <f>+9710565596275</f>
        <v>9710565596275</v>
      </c>
      <c r="F661" s="12" t="s">
        <v>1295</v>
      </c>
      <c r="G661" s="9" t="s">
        <v>80</v>
      </c>
      <c r="H661" s="9" t="s">
        <v>41</v>
      </c>
      <c r="I661" s="13"/>
      <c r="J661" s="13"/>
      <c r="K661" s="14"/>
      <c r="L661" s="13"/>
      <c r="M661" s="14"/>
      <c r="N661" s="15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9">
        <v>660.0</v>
      </c>
      <c r="B662" s="10">
        <v>44054.0</v>
      </c>
      <c r="C662" s="9" t="s">
        <v>47</v>
      </c>
      <c r="D662" s="11" t="s">
        <v>1296</v>
      </c>
      <c r="E662" s="17">
        <f>+971502505420</f>
        <v>971502505420</v>
      </c>
      <c r="F662" s="12" t="s">
        <v>1297</v>
      </c>
      <c r="G662" s="9" t="s">
        <v>35</v>
      </c>
      <c r="H662" s="9" t="s">
        <v>206</v>
      </c>
      <c r="I662" s="13"/>
      <c r="J662" s="13"/>
      <c r="K662" s="14"/>
      <c r="L662" s="13"/>
      <c r="M662" s="14"/>
      <c r="N662" s="15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9">
        <v>661.0</v>
      </c>
      <c r="B663" s="10">
        <v>44054.0</v>
      </c>
      <c r="C663" s="9" t="s">
        <v>47</v>
      </c>
      <c r="D663" s="11" t="s">
        <v>1298</v>
      </c>
      <c r="E663" s="17">
        <f>+971507079784</f>
        <v>971507079784</v>
      </c>
      <c r="F663" s="12" t="s">
        <v>1299</v>
      </c>
      <c r="G663" s="9" t="s">
        <v>300</v>
      </c>
      <c r="H663" s="9" t="s">
        <v>41</v>
      </c>
      <c r="I663" s="13"/>
      <c r="J663" s="13"/>
      <c r="K663" s="14"/>
      <c r="L663" s="13"/>
      <c r="M663" s="14"/>
      <c r="N663" s="15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9">
        <v>662.0</v>
      </c>
      <c r="B664" s="10">
        <v>44054.0</v>
      </c>
      <c r="C664" s="9" t="s">
        <v>47</v>
      </c>
      <c r="D664" s="11" t="s">
        <v>1300</v>
      </c>
      <c r="E664" s="17">
        <f>+971507727788</f>
        <v>971507727788</v>
      </c>
      <c r="F664" s="12" t="s">
        <v>1301</v>
      </c>
      <c r="G664" s="9" t="s">
        <v>134</v>
      </c>
      <c r="H664" s="9" t="s">
        <v>17</v>
      </c>
      <c r="I664" s="13"/>
      <c r="J664" s="13"/>
      <c r="K664" s="14"/>
      <c r="L664" s="13"/>
      <c r="M664" s="14"/>
      <c r="N664" s="15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9">
        <v>663.0</v>
      </c>
      <c r="B665" s="10">
        <v>44054.0</v>
      </c>
      <c r="C665" s="9" t="s">
        <v>47</v>
      </c>
      <c r="D665" s="11" t="s">
        <v>1302</v>
      </c>
      <c r="E665" s="17">
        <f>+971552215508</f>
        <v>971552215508</v>
      </c>
      <c r="F665" s="12" t="s">
        <v>1303</v>
      </c>
      <c r="G665" s="9" t="s">
        <v>12</v>
      </c>
      <c r="H665" s="9" t="s">
        <v>17</v>
      </c>
      <c r="I665" s="13"/>
      <c r="J665" s="13"/>
      <c r="K665" s="14"/>
      <c r="L665" s="13"/>
      <c r="M665" s="14"/>
      <c r="N665" s="15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9">
        <v>664.0</v>
      </c>
      <c r="B666" s="10">
        <v>44054.0</v>
      </c>
      <c r="C666" s="9" t="s">
        <v>1206</v>
      </c>
      <c r="D666" s="16" t="s">
        <v>354</v>
      </c>
      <c r="E666" s="9">
        <v>9.66505293784E11</v>
      </c>
      <c r="F666" s="12" t="s">
        <v>355</v>
      </c>
      <c r="G666" s="9" t="s">
        <v>28</v>
      </c>
      <c r="H666" s="9" t="s">
        <v>13</v>
      </c>
      <c r="I666" s="13"/>
      <c r="J666" s="13"/>
      <c r="K666" s="14"/>
      <c r="L666" s="13"/>
      <c r="M666" s="22"/>
      <c r="N666" s="15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9">
        <v>665.0</v>
      </c>
      <c r="B667" s="10">
        <v>44054.0</v>
      </c>
      <c r="C667" s="9" t="s">
        <v>47</v>
      </c>
      <c r="D667" s="11" t="s">
        <v>1304</v>
      </c>
      <c r="E667" s="17">
        <f>+9710554714159</f>
        <v>9710554714159</v>
      </c>
      <c r="F667" s="12" t="s">
        <v>1305</v>
      </c>
      <c r="G667" s="9" t="s">
        <v>60</v>
      </c>
      <c r="H667" s="9" t="s">
        <v>81</v>
      </c>
      <c r="I667" s="13"/>
      <c r="J667" s="13"/>
      <c r="K667" s="14"/>
      <c r="L667" s="13"/>
      <c r="M667" s="14"/>
      <c r="N667" s="15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9">
        <v>666.0</v>
      </c>
      <c r="B668" s="10">
        <v>44054.0</v>
      </c>
      <c r="C668" s="9" t="s">
        <v>309</v>
      </c>
      <c r="D668" s="11" t="s">
        <v>356</v>
      </c>
      <c r="E668" s="9">
        <v>9.710506666723E12</v>
      </c>
      <c r="F668" s="12" t="s">
        <v>357</v>
      </c>
      <c r="G668" s="9" t="s">
        <v>28</v>
      </c>
      <c r="H668" s="9" t="s">
        <v>13</v>
      </c>
      <c r="I668" s="13"/>
      <c r="J668" s="13"/>
      <c r="K668" s="14"/>
      <c r="L668" s="13"/>
      <c r="M668" s="14"/>
      <c r="N668" s="15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9">
        <v>667.0</v>
      </c>
      <c r="B669" s="10">
        <v>44054.0</v>
      </c>
      <c r="C669" s="9" t="s">
        <v>1206</v>
      </c>
      <c r="D669" s="11" t="s">
        <v>735</v>
      </c>
      <c r="E669" s="26">
        <v>9.7101E16</v>
      </c>
      <c r="F669" s="12" t="s">
        <v>1306</v>
      </c>
      <c r="G669" s="9" t="s">
        <v>184</v>
      </c>
      <c r="H669" s="9" t="s">
        <v>13</v>
      </c>
      <c r="I669" s="13"/>
      <c r="J669" s="13"/>
      <c r="K669" s="14"/>
      <c r="L669" s="13"/>
      <c r="M669" s="14"/>
      <c r="N669" s="15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9">
        <v>668.0</v>
      </c>
      <c r="B670" s="10">
        <v>44054.0</v>
      </c>
      <c r="C670" s="9" t="s">
        <v>309</v>
      </c>
      <c r="D670" s="16" t="s">
        <v>1307</v>
      </c>
      <c r="E670" s="9">
        <v>9.71050391888E12</v>
      </c>
      <c r="F670" s="12" t="s">
        <v>1308</v>
      </c>
      <c r="G670" s="9" t="s">
        <v>199</v>
      </c>
      <c r="H670" s="9" t="s">
        <v>13</v>
      </c>
      <c r="I670" s="13"/>
      <c r="J670" s="13"/>
      <c r="K670" s="14"/>
      <c r="L670" s="13"/>
      <c r="M670" s="22"/>
      <c r="N670" s="15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9">
        <v>669.0</v>
      </c>
      <c r="B671" s="10">
        <v>44054.0</v>
      </c>
      <c r="C671" s="9" t="s">
        <v>47</v>
      </c>
      <c r="D671" s="11" t="s">
        <v>1309</v>
      </c>
      <c r="E671" s="17">
        <f>+971554453529</f>
        <v>971554453529</v>
      </c>
      <c r="F671" s="12" t="s">
        <v>1310</v>
      </c>
      <c r="G671" s="9" t="s">
        <v>80</v>
      </c>
      <c r="H671" s="9" t="s">
        <v>81</v>
      </c>
      <c r="I671" s="13"/>
      <c r="J671" s="13"/>
      <c r="K671" s="14"/>
      <c r="L671" s="13"/>
      <c r="M671" s="14"/>
      <c r="N671" s="15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9">
        <v>670.0</v>
      </c>
      <c r="B672" s="10">
        <v>44053.0</v>
      </c>
      <c r="C672" s="9" t="s">
        <v>1206</v>
      </c>
      <c r="D672" s="16" t="s">
        <v>195</v>
      </c>
      <c r="E672" s="9">
        <v>9.66557405665E11</v>
      </c>
      <c r="F672" s="12" t="s">
        <v>196</v>
      </c>
      <c r="G672" s="9" t="s">
        <v>184</v>
      </c>
      <c r="H672" s="9" t="s">
        <v>13</v>
      </c>
      <c r="I672" s="13"/>
      <c r="J672" s="13"/>
      <c r="K672" s="14"/>
      <c r="L672" s="13"/>
      <c r="M672" s="22"/>
      <c r="N672" s="15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9">
        <v>671.0</v>
      </c>
      <c r="B673" s="10">
        <v>44053.0</v>
      </c>
      <c r="C673" s="9" t="s">
        <v>47</v>
      </c>
      <c r="D673" s="11" t="s">
        <v>1311</v>
      </c>
      <c r="E673" s="17">
        <f>+971526990663</f>
        <v>971526990663</v>
      </c>
      <c r="F673" s="12" t="s">
        <v>1312</v>
      </c>
      <c r="G673" s="9" t="s">
        <v>20</v>
      </c>
      <c r="H673" s="9" t="s">
        <v>13</v>
      </c>
      <c r="I673" s="13"/>
      <c r="J673" s="13"/>
      <c r="K673" s="14"/>
      <c r="L673" s="13"/>
      <c r="M673" s="14"/>
      <c r="N673" s="15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9">
        <v>672.0</v>
      </c>
      <c r="B674" s="10">
        <v>44053.0</v>
      </c>
      <c r="C674" s="9" t="s">
        <v>47</v>
      </c>
      <c r="D674" s="11" t="s">
        <v>1313</v>
      </c>
      <c r="E674" s="17">
        <f>+9710527240218</f>
        <v>9710527240218</v>
      </c>
      <c r="F674" s="12" t="s">
        <v>1314</v>
      </c>
      <c r="G674" s="9" t="s">
        <v>176</v>
      </c>
      <c r="H674" s="9" t="s">
        <v>81</v>
      </c>
      <c r="I674" s="13"/>
      <c r="J674" s="13"/>
      <c r="K674" s="14"/>
      <c r="L674" s="13"/>
      <c r="M674" s="14"/>
      <c r="N674" s="15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9">
        <v>673.0</v>
      </c>
      <c r="B675" s="10">
        <v>44053.0</v>
      </c>
      <c r="C675" s="9" t="s">
        <v>309</v>
      </c>
      <c r="D675" s="11" t="s">
        <v>165</v>
      </c>
      <c r="E675" s="9">
        <v>9.710504894466E12</v>
      </c>
      <c r="F675" s="12" t="s">
        <v>166</v>
      </c>
      <c r="G675" s="9" t="s">
        <v>28</v>
      </c>
      <c r="H675" s="9" t="s">
        <v>13</v>
      </c>
      <c r="I675" s="13"/>
      <c r="J675" s="13"/>
      <c r="K675" s="14"/>
      <c r="L675" s="13"/>
      <c r="M675" s="14"/>
      <c r="N675" s="15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9">
        <v>674.0</v>
      </c>
      <c r="B676" s="10">
        <v>44053.0</v>
      </c>
      <c r="C676" s="9" t="s">
        <v>309</v>
      </c>
      <c r="D676" s="16" t="s">
        <v>169</v>
      </c>
      <c r="E676" s="9">
        <v>9.71509666686E11</v>
      </c>
      <c r="F676" s="12" t="s">
        <v>170</v>
      </c>
      <c r="G676" s="9" t="s">
        <v>28</v>
      </c>
      <c r="H676" s="9" t="s">
        <v>13</v>
      </c>
      <c r="I676" s="13"/>
      <c r="J676" s="13"/>
      <c r="K676" s="14"/>
      <c r="L676" s="13"/>
      <c r="M676" s="22"/>
      <c r="N676" s="15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9">
        <v>675.0</v>
      </c>
      <c r="B677" s="10">
        <v>44053.0</v>
      </c>
      <c r="C677" s="9" t="s">
        <v>309</v>
      </c>
      <c r="D677" s="16" t="s">
        <v>171</v>
      </c>
      <c r="E677" s="9">
        <v>9.7150649779E11</v>
      </c>
      <c r="F677" s="12" t="s">
        <v>172</v>
      </c>
      <c r="G677" s="9" t="s">
        <v>432</v>
      </c>
      <c r="H677" s="9" t="s">
        <v>81</v>
      </c>
      <c r="I677" s="13"/>
      <c r="J677" s="13"/>
      <c r="K677" s="14"/>
      <c r="L677" s="13"/>
      <c r="M677" s="22"/>
      <c r="N677" s="15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9">
        <v>676.0</v>
      </c>
      <c r="B678" s="10">
        <v>44053.0</v>
      </c>
      <c r="C678" s="9" t="s">
        <v>1315</v>
      </c>
      <c r="D678" s="11" t="s">
        <v>1316</v>
      </c>
      <c r="E678" s="9">
        <v>9.710568326814E12</v>
      </c>
      <c r="F678" s="12" t="s">
        <v>1317</v>
      </c>
      <c r="G678" s="9" t="s">
        <v>20</v>
      </c>
      <c r="H678" s="9" t="s">
        <v>13</v>
      </c>
      <c r="I678" s="13"/>
      <c r="J678" s="13"/>
      <c r="K678" s="14"/>
      <c r="L678" s="13"/>
      <c r="M678" s="14"/>
      <c r="N678" s="15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9">
        <v>677.0</v>
      </c>
      <c r="B679" s="10">
        <v>44053.0</v>
      </c>
      <c r="C679" s="9" t="s">
        <v>1315</v>
      </c>
      <c r="D679" s="11" t="s">
        <v>1318</v>
      </c>
      <c r="E679" s="9">
        <v>9.710509105801E12</v>
      </c>
      <c r="F679" s="12" t="s">
        <v>1319</v>
      </c>
      <c r="G679" s="9" t="s">
        <v>52</v>
      </c>
      <c r="H679" s="9" t="s">
        <v>73</v>
      </c>
      <c r="I679" s="13"/>
      <c r="J679" s="13"/>
      <c r="K679" s="14"/>
      <c r="L679" s="13"/>
      <c r="M679" s="14"/>
      <c r="N679" s="15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9">
        <v>678.0</v>
      </c>
      <c r="B680" s="10">
        <v>44053.0</v>
      </c>
      <c r="C680" s="9" t="s">
        <v>47</v>
      </c>
      <c r="D680" s="11" t="s">
        <v>1320</v>
      </c>
      <c r="E680" s="17">
        <f>+971503861326</f>
        <v>971503861326</v>
      </c>
      <c r="F680" s="12" t="s">
        <v>1321</v>
      </c>
      <c r="G680" s="9" t="s">
        <v>20</v>
      </c>
      <c r="H680" s="9" t="s">
        <v>13</v>
      </c>
      <c r="I680" s="13"/>
      <c r="J680" s="13"/>
      <c r="K680" s="14"/>
      <c r="L680" s="13"/>
      <c r="M680" s="14"/>
      <c r="N680" s="15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9">
        <v>679.0</v>
      </c>
      <c r="B681" s="10">
        <v>44053.0</v>
      </c>
      <c r="C681" s="9" t="s">
        <v>1315</v>
      </c>
      <c r="D681" s="11" t="s">
        <v>1322</v>
      </c>
      <c r="E681" s="9">
        <v>9.710506624784E12</v>
      </c>
      <c r="F681" s="12" t="s">
        <v>1323</v>
      </c>
      <c r="G681" s="9" t="s">
        <v>12</v>
      </c>
      <c r="H681" s="9" t="s">
        <v>17</v>
      </c>
      <c r="I681" s="13"/>
      <c r="J681" s="13"/>
      <c r="K681" s="14"/>
      <c r="L681" s="13"/>
      <c r="M681" s="14"/>
      <c r="N681" s="15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9">
        <v>680.0</v>
      </c>
      <c r="B682" s="10">
        <v>44053.0</v>
      </c>
      <c r="C682" s="9" t="s">
        <v>1315</v>
      </c>
      <c r="D682" s="11" t="s">
        <v>1324</v>
      </c>
      <c r="E682" s="9">
        <v>9.710504100031E12</v>
      </c>
      <c r="F682" s="12" t="s">
        <v>1325</v>
      </c>
      <c r="G682" s="9" t="s">
        <v>60</v>
      </c>
      <c r="H682" s="9" t="s">
        <v>41</v>
      </c>
      <c r="I682" s="13"/>
      <c r="J682" s="13"/>
      <c r="K682" s="14"/>
      <c r="L682" s="13"/>
      <c r="M682" s="14"/>
      <c r="N682" s="15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9">
        <v>681.0</v>
      </c>
      <c r="B683" s="10">
        <v>44053.0</v>
      </c>
      <c r="C683" s="9" t="s">
        <v>309</v>
      </c>
      <c r="D683" s="16" t="s">
        <v>1326</v>
      </c>
      <c r="E683" s="9">
        <v>9.710551533332E12</v>
      </c>
      <c r="F683" s="12" t="s">
        <v>1327</v>
      </c>
      <c r="G683" s="9" t="s">
        <v>400</v>
      </c>
      <c r="H683" s="9" t="s">
        <v>41</v>
      </c>
      <c r="I683" s="13"/>
      <c r="J683" s="13"/>
      <c r="K683" s="14"/>
      <c r="L683" s="13"/>
      <c r="M683" s="22"/>
      <c r="N683" s="15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9">
        <v>682.0</v>
      </c>
      <c r="B684" s="10">
        <v>44053.0</v>
      </c>
      <c r="C684" s="9" t="s">
        <v>47</v>
      </c>
      <c r="D684" s="11" t="s">
        <v>1328</v>
      </c>
      <c r="E684" s="9">
        <v>5.08887728E8</v>
      </c>
      <c r="F684" s="12" t="s">
        <v>1329</v>
      </c>
      <c r="G684" s="9" t="s">
        <v>300</v>
      </c>
      <c r="H684" s="9" t="s">
        <v>17</v>
      </c>
      <c r="I684" s="13"/>
      <c r="J684" s="13"/>
      <c r="K684" s="14"/>
      <c r="L684" s="13"/>
      <c r="M684" s="14"/>
      <c r="N684" s="15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9">
        <v>683.0</v>
      </c>
      <c r="B685" s="10">
        <v>44053.0</v>
      </c>
      <c r="C685" s="9" t="s">
        <v>309</v>
      </c>
      <c r="D685" s="16" t="s">
        <v>1330</v>
      </c>
      <c r="E685" s="9">
        <v>9.710502262676E12</v>
      </c>
      <c r="F685" s="12" t="s">
        <v>1331</v>
      </c>
      <c r="G685" s="9" t="s">
        <v>138</v>
      </c>
      <c r="H685" s="9" t="s">
        <v>17</v>
      </c>
      <c r="I685" s="13"/>
      <c r="J685" s="13"/>
      <c r="K685" s="14"/>
      <c r="L685" s="13"/>
      <c r="M685" s="22"/>
      <c r="N685" s="15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9">
        <v>684.0</v>
      </c>
      <c r="B686" s="10">
        <v>44052.0</v>
      </c>
      <c r="C686" s="9" t="s">
        <v>309</v>
      </c>
      <c r="D686" s="16" t="s">
        <v>1332</v>
      </c>
      <c r="E686" s="9">
        <v>9.71555555151E11</v>
      </c>
      <c r="F686" s="12" t="s">
        <v>1333</v>
      </c>
      <c r="G686" s="9" t="s">
        <v>20</v>
      </c>
      <c r="H686" s="9" t="s">
        <v>13</v>
      </c>
      <c r="I686" s="13"/>
      <c r="J686" s="13"/>
      <c r="K686" s="14"/>
      <c r="L686" s="13"/>
      <c r="M686" s="22"/>
      <c r="N686" s="15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9">
        <v>685.0</v>
      </c>
      <c r="B687" s="10">
        <v>44052.0</v>
      </c>
      <c r="C687" s="9" t="s">
        <v>309</v>
      </c>
      <c r="D687" s="16" t="s">
        <v>1231</v>
      </c>
      <c r="E687" s="9">
        <v>9.71501300014E11</v>
      </c>
      <c r="F687" s="12" t="s">
        <v>1334</v>
      </c>
      <c r="G687" s="9" t="s">
        <v>300</v>
      </c>
      <c r="H687" s="9" t="s">
        <v>17</v>
      </c>
      <c r="I687" s="13"/>
      <c r="J687" s="13"/>
      <c r="K687" s="14"/>
      <c r="L687" s="13"/>
      <c r="M687" s="22"/>
      <c r="N687" s="15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9">
        <v>686.0</v>
      </c>
      <c r="B688" s="10">
        <v>44052.0</v>
      </c>
      <c r="C688" s="9" t="s">
        <v>1315</v>
      </c>
      <c r="D688" s="11" t="s">
        <v>1335</v>
      </c>
      <c r="E688" s="9">
        <v>9.710506127011E12</v>
      </c>
      <c r="F688" s="12" t="s">
        <v>1336</v>
      </c>
      <c r="G688" s="9" t="s">
        <v>176</v>
      </c>
      <c r="H688" s="9" t="s">
        <v>21</v>
      </c>
      <c r="I688" s="13"/>
      <c r="J688" s="13"/>
      <c r="K688" s="14"/>
      <c r="L688" s="13"/>
      <c r="M688" s="14"/>
      <c r="N688" s="15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9">
        <v>687.0</v>
      </c>
      <c r="B689" s="10">
        <v>44052.0</v>
      </c>
      <c r="C689" s="9" t="s">
        <v>47</v>
      </c>
      <c r="D689" s="11" t="s">
        <v>211</v>
      </c>
      <c r="E689" s="17">
        <f>+971504602589</f>
        <v>971504602589</v>
      </c>
      <c r="F689" s="12" t="s">
        <v>212</v>
      </c>
      <c r="G689" s="9" t="s">
        <v>199</v>
      </c>
      <c r="H689" s="9" t="s">
        <v>13</v>
      </c>
      <c r="I689" s="13"/>
      <c r="J689" s="13"/>
      <c r="K689" s="14"/>
      <c r="L689" s="13"/>
      <c r="M689" s="14"/>
      <c r="N689" s="15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9">
        <v>688.0</v>
      </c>
      <c r="B690" s="10">
        <v>44052.0</v>
      </c>
      <c r="C690" s="9" t="s">
        <v>1206</v>
      </c>
      <c r="D690" s="11" t="s">
        <v>243</v>
      </c>
      <c r="E690" s="9">
        <v>9.660549133566E12</v>
      </c>
      <c r="F690" s="12" t="s">
        <v>244</v>
      </c>
      <c r="G690" s="9" t="s">
        <v>184</v>
      </c>
      <c r="H690" s="9" t="s">
        <v>13</v>
      </c>
      <c r="I690" s="13"/>
      <c r="J690" s="13"/>
      <c r="K690" s="14"/>
      <c r="L690" s="13"/>
      <c r="M690" s="14"/>
      <c r="N690" s="15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9">
        <v>689.0</v>
      </c>
      <c r="B691" s="10">
        <v>44052.0</v>
      </c>
      <c r="C691" s="9" t="s">
        <v>1206</v>
      </c>
      <c r="D691" s="16" t="s">
        <v>1337</v>
      </c>
      <c r="E691" s="9">
        <v>9.66059816E12</v>
      </c>
      <c r="F691" s="12" t="s">
        <v>1338</v>
      </c>
      <c r="G691" s="9" t="s">
        <v>184</v>
      </c>
      <c r="H691" s="9" t="s">
        <v>13</v>
      </c>
      <c r="I691" s="13"/>
      <c r="J691" s="13"/>
      <c r="K691" s="14"/>
      <c r="L691" s="13"/>
      <c r="M691" s="22"/>
      <c r="N691" s="15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9">
        <v>690.0</v>
      </c>
      <c r="B692" s="10">
        <v>44052.0</v>
      </c>
      <c r="C692" s="9" t="s">
        <v>1315</v>
      </c>
      <c r="D692" s="11" t="s">
        <v>1339</v>
      </c>
      <c r="E692" s="9">
        <v>9.710509308496E12</v>
      </c>
      <c r="F692" s="12" t="s">
        <v>1340</v>
      </c>
      <c r="G692" s="9" t="s">
        <v>176</v>
      </c>
      <c r="H692" s="9" t="s">
        <v>81</v>
      </c>
      <c r="I692" s="13"/>
      <c r="J692" s="13"/>
      <c r="K692" s="14"/>
      <c r="L692" s="13"/>
      <c r="M692" s="14"/>
      <c r="N692" s="15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9">
        <v>691.0</v>
      </c>
      <c r="B693" s="10">
        <v>44052.0</v>
      </c>
      <c r="C693" s="9" t="s">
        <v>1206</v>
      </c>
      <c r="D693" s="11" t="s">
        <v>202</v>
      </c>
      <c r="E693" s="9">
        <v>9.660507537523E12</v>
      </c>
      <c r="F693" s="12" t="s">
        <v>203</v>
      </c>
      <c r="G693" s="9" t="s">
        <v>176</v>
      </c>
      <c r="H693" s="9" t="s">
        <v>81</v>
      </c>
      <c r="I693" s="13"/>
      <c r="J693" s="13"/>
      <c r="K693" s="14"/>
      <c r="L693" s="13"/>
      <c r="M693" s="14"/>
      <c r="N693" s="15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9">
        <v>692.0</v>
      </c>
      <c r="B694" s="10">
        <v>44052.0</v>
      </c>
      <c r="C694" s="9" t="s">
        <v>47</v>
      </c>
      <c r="D694" s="11" t="s">
        <v>204</v>
      </c>
      <c r="E694" s="17">
        <f>+971506164438</f>
        <v>971506164438</v>
      </c>
      <c r="F694" s="12" t="s">
        <v>205</v>
      </c>
      <c r="G694" s="9" t="s">
        <v>52</v>
      </c>
      <c r="H694" s="9" t="s">
        <v>21</v>
      </c>
      <c r="I694" s="13"/>
      <c r="J694" s="13"/>
      <c r="K694" s="14"/>
      <c r="L694" s="13"/>
      <c r="M694" s="14"/>
      <c r="N694" s="15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9">
        <v>693.0</v>
      </c>
      <c r="B695" s="10">
        <v>44052.0</v>
      </c>
      <c r="C695" s="9" t="s">
        <v>47</v>
      </c>
      <c r="D695" s="11" t="s">
        <v>1341</v>
      </c>
      <c r="E695" s="17">
        <f>+971506141217</f>
        <v>971506141217</v>
      </c>
      <c r="F695" s="12" t="s">
        <v>1342</v>
      </c>
      <c r="G695" s="9" t="s">
        <v>190</v>
      </c>
      <c r="H695" s="9" t="s">
        <v>17</v>
      </c>
      <c r="I695" s="13"/>
      <c r="J695" s="13"/>
      <c r="K695" s="14"/>
      <c r="L695" s="13"/>
      <c r="M695" s="14"/>
      <c r="N695" s="15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9">
        <v>694.0</v>
      </c>
      <c r="B696" s="10">
        <v>44052.0</v>
      </c>
      <c r="C696" s="9" t="s">
        <v>309</v>
      </c>
      <c r="D696" s="16" t="s">
        <v>1343</v>
      </c>
      <c r="E696" s="9">
        <v>9.71505355544E11</v>
      </c>
      <c r="F696" s="12" t="s">
        <v>1344</v>
      </c>
      <c r="G696" s="9" t="s">
        <v>181</v>
      </c>
      <c r="H696" s="9" t="s">
        <v>17</v>
      </c>
      <c r="I696" s="13"/>
      <c r="J696" s="13"/>
      <c r="K696" s="14"/>
      <c r="L696" s="13"/>
      <c r="M696" s="22"/>
      <c r="N696" s="15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9">
        <v>695.0</v>
      </c>
      <c r="B697" s="10">
        <v>44052.0</v>
      </c>
      <c r="C697" s="9" t="s">
        <v>309</v>
      </c>
      <c r="D697" s="11" t="s">
        <v>1345</v>
      </c>
      <c r="E697" s="9">
        <v>9.710557777835E12</v>
      </c>
      <c r="F697" s="12" t="s">
        <v>1346</v>
      </c>
      <c r="G697" s="9" t="s">
        <v>138</v>
      </c>
      <c r="H697" s="9" t="s">
        <v>17</v>
      </c>
      <c r="I697" s="13"/>
      <c r="J697" s="13"/>
      <c r="K697" s="14"/>
      <c r="L697" s="13"/>
      <c r="M697" s="14"/>
      <c r="N697" s="15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9">
        <v>696.0</v>
      </c>
      <c r="B698" s="10">
        <v>44052.0</v>
      </c>
      <c r="C698" s="9" t="s">
        <v>47</v>
      </c>
      <c r="D698" s="11" t="s">
        <v>1347</v>
      </c>
      <c r="E698" s="17">
        <f>+447494287340</f>
        <v>447494287340</v>
      </c>
      <c r="F698" s="12" t="s">
        <v>1348</v>
      </c>
      <c r="G698" s="9" t="s">
        <v>300</v>
      </c>
      <c r="H698" s="9" t="s">
        <v>17</v>
      </c>
      <c r="I698" s="13"/>
      <c r="J698" s="13"/>
      <c r="K698" s="14"/>
      <c r="L698" s="13"/>
      <c r="M698" s="14"/>
      <c r="N698" s="15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9">
        <v>697.0</v>
      </c>
      <c r="B699" s="10">
        <v>44052.0</v>
      </c>
      <c r="C699" s="9" t="s">
        <v>1206</v>
      </c>
      <c r="D699" s="11" t="s">
        <v>1349</v>
      </c>
      <c r="E699" s="9">
        <v>9.66500595642E11</v>
      </c>
      <c r="F699" s="12" t="s">
        <v>1350</v>
      </c>
      <c r="G699" s="9" t="s">
        <v>176</v>
      </c>
      <c r="H699" s="9" t="s">
        <v>17</v>
      </c>
      <c r="I699" s="13"/>
      <c r="J699" s="13"/>
      <c r="K699" s="14"/>
      <c r="L699" s="13"/>
      <c r="M699" s="14"/>
      <c r="N699" s="15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9">
        <v>698.0</v>
      </c>
      <c r="B700" s="10">
        <v>44052.0</v>
      </c>
      <c r="C700" s="9" t="s">
        <v>309</v>
      </c>
      <c r="D700" s="11" t="s">
        <v>1351</v>
      </c>
      <c r="E700" s="9">
        <v>9.710505995404E12</v>
      </c>
      <c r="F700" s="12" t="s">
        <v>1352</v>
      </c>
      <c r="G700" s="9" t="s">
        <v>364</v>
      </c>
      <c r="H700" s="9" t="s">
        <v>21</v>
      </c>
      <c r="I700" s="13"/>
      <c r="J700" s="13"/>
      <c r="K700" s="14"/>
      <c r="L700" s="13"/>
      <c r="M700" s="14"/>
      <c r="N700" s="15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9">
        <v>699.0</v>
      </c>
      <c r="B701" s="10">
        <v>44052.0</v>
      </c>
      <c r="C701" s="9" t="s">
        <v>47</v>
      </c>
      <c r="D701" s="11" t="s">
        <v>1353</v>
      </c>
      <c r="E701" s="17">
        <f>+971528101846</f>
        <v>971528101846</v>
      </c>
      <c r="F701" s="12" t="s">
        <v>1354</v>
      </c>
      <c r="G701" s="9" t="s">
        <v>176</v>
      </c>
      <c r="H701" s="9" t="s">
        <v>41</v>
      </c>
      <c r="I701" s="13"/>
      <c r="J701" s="13"/>
      <c r="K701" s="14"/>
      <c r="L701" s="13"/>
      <c r="M701" s="14"/>
      <c r="N701" s="15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9">
        <v>700.0</v>
      </c>
      <c r="B702" s="10">
        <v>44052.0</v>
      </c>
      <c r="C702" s="9" t="s">
        <v>309</v>
      </c>
      <c r="D702" s="16" t="s">
        <v>252</v>
      </c>
      <c r="E702" s="9">
        <v>9.71507997732E11</v>
      </c>
      <c r="F702" s="12" t="s">
        <v>253</v>
      </c>
      <c r="G702" s="9" t="s">
        <v>52</v>
      </c>
      <c r="H702" s="9" t="s">
        <v>17</v>
      </c>
      <c r="I702" s="13"/>
      <c r="J702" s="13"/>
      <c r="K702" s="14"/>
      <c r="L702" s="13"/>
      <c r="M702" s="22"/>
      <c r="N702" s="15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9">
        <v>701.0</v>
      </c>
      <c r="B703" s="18">
        <v>44052.0</v>
      </c>
      <c r="C703" s="9" t="s">
        <v>309</v>
      </c>
      <c r="D703" s="11" t="s">
        <v>229</v>
      </c>
      <c r="E703" s="19">
        <v>9.66507888555E11</v>
      </c>
      <c r="F703" s="12" t="s">
        <v>230</v>
      </c>
      <c r="G703" s="19" t="s">
        <v>184</v>
      </c>
      <c r="H703" s="19" t="s">
        <v>13</v>
      </c>
      <c r="I703" s="13"/>
      <c r="J703" s="13"/>
      <c r="K703" s="20"/>
      <c r="L703" s="13"/>
      <c r="M703" s="20"/>
      <c r="N703" s="21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9">
        <v>702.0</v>
      </c>
      <c r="B704" s="10">
        <v>44051.0</v>
      </c>
      <c r="C704" s="9" t="s">
        <v>1206</v>
      </c>
      <c r="D704" s="16" t="s">
        <v>227</v>
      </c>
      <c r="E704" s="9">
        <v>9.6650059958E11</v>
      </c>
      <c r="F704" s="12" t="s">
        <v>228</v>
      </c>
      <c r="G704" s="9" t="s">
        <v>184</v>
      </c>
      <c r="H704" s="9" t="s">
        <v>13</v>
      </c>
      <c r="I704" s="13"/>
      <c r="J704" s="13"/>
      <c r="K704" s="14"/>
      <c r="L704" s="13"/>
      <c r="M704" s="22"/>
      <c r="N704" s="15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9">
        <v>703.0</v>
      </c>
      <c r="B705" s="10">
        <v>44051.0</v>
      </c>
      <c r="C705" s="9" t="s">
        <v>1206</v>
      </c>
      <c r="D705" s="11" t="s">
        <v>231</v>
      </c>
      <c r="E705" s="9">
        <v>9.66555508348E11</v>
      </c>
      <c r="F705" s="12" t="s">
        <v>232</v>
      </c>
      <c r="G705" s="9" t="s">
        <v>184</v>
      </c>
      <c r="H705" s="9" t="s">
        <v>13</v>
      </c>
      <c r="I705" s="13"/>
      <c r="J705" s="13"/>
      <c r="K705" s="14"/>
      <c r="L705" s="13"/>
      <c r="M705" s="14"/>
      <c r="N705" s="15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9">
        <v>704.0</v>
      </c>
      <c r="B706" s="10">
        <v>44051.0</v>
      </c>
      <c r="C706" s="9" t="s">
        <v>1206</v>
      </c>
      <c r="D706" s="16" t="s">
        <v>223</v>
      </c>
      <c r="E706" s="9">
        <v>9.66544233015E11</v>
      </c>
      <c r="F706" s="12" t="s">
        <v>224</v>
      </c>
      <c r="G706" s="9" t="s">
        <v>184</v>
      </c>
      <c r="H706" s="9" t="s">
        <v>13</v>
      </c>
      <c r="I706" s="13"/>
      <c r="J706" s="13"/>
      <c r="K706" s="14"/>
      <c r="L706" s="13"/>
      <c r="M706" s="22"/>
      <c r="N706" s="15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9">
        <v>705.0</v>
      </c>
      <c r="B707" s="10">
        <v>44051.0</v>
      </c>
      <c r="C707" s="9" t="s">
        <v>1355</v>
      </c>
      <c r="D707" s="11" t="s">
        <v>1356</v>
      </c>
      <c r="E707" s="9">
        <v>5.59546743E8</v>
      </c>
      <c r="F707" s="12" t="s">
        <v>1357</v>
      </c>
      <c r="G707" s="9" t="s">
        <v>80</v>
      </c>
      <c r="H707" s="9" t="s">
        <v>41</v>
      </c>
      <c r="I707" s="13"/>
      <c r="J707" s="13"/>
      <c r="K707" s="14"/>
      <c r="L707" s="13"/>
      <c r="M707" s="14"/>
      <c r="N707" s="15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9">
        <v>706.0</v>
      </c>
      <c r="B708" s="10">
        <v>44051.0</v>
      </c>
      <c r="C708" s="9" t="s">
        <v>1206</v>
      </c>
      <c r="D708" s="16" t="s">
        <v>157</v>
      </c>
      <c r="E708" s="9">
        <v>9.66503332681E11</v>
      </c>
      <c r="F708" s="12" t="s">
        <v>265</v>
      </c>
      <c r="G708" s="9" t="s">
        <v>80</v>
      </c>
      <c r="H708" s="9" t="s">
        <v>41</v>
      </c>
      <c r="I708" s="13"/>
      <c r="J708" s="13"/>
      <c r="K708" s="14"/>
      <c r="L708" s="13"/>
      <c r="M708" s="22"/>
      <c r="N708" s="15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9">
        <v>707.0</v>
      </c>
      <c r="B709" s="10">
        <v>44051.0</v>
      </c>
      <c r="C709" s="9" t="s">
        <v>309</v>
      </c>
      <c r="D709" s="11" t="s">
        <v>1358</v>
      </c>
      <c r="E709" s="9">
        <v>9.710501999185E12</v>
      </c>
      <c r="F709" s="12" t="s">
        <v>1359</v>
      </c>
      <c r="G709" s="9" t="s">
        <v>12</v>
      </c>
      <c r="H709" s="9" t="s">
        <v>13</v>
      </c>
      <c r="I709" s="13"/>
      <c r="J709" s="13"/>
      <c r="K709" s="14"/>
      <c r="L709" s="13"/>
      <c r="M709" s="14"/>
      <c r="N709" s="15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9">
        <v>708.0</v>
      </c>
      <c r="B710" s="10">
        <v>44051.0</v>
      </c>
      <c r="C710" s="9" t="s">
        <v>1206</v>
      </c>
      <c r="D710" s="11" t="s">
        <v>263</v>
      </c>
      <c r="E710" s="9">
        <v>9.66506325641E11</v>
      </c>
      <c r="F710" s="12" t="s">
        <v>264</v>
      </c>
      <c r="G710" s="9" t="s">
        <v>181</v>
      </c>
      <c r="H710" s="9" t="s">
        <v>17</v>
      </c>
      <c r="I710" s="13"/>
      <c r="J710" s="13"/>
      <c r="K710" s="14"/>
      <c r="L710" s="13"/>
      <c r="M710" s="14"/>
      <c r="N710" s="15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9">
        <v>709.0</v>
      </c>
      <c r="B711" s="10">
        <v>44051.0</v>
      </c>
      <c r="C711" s="9" t="s">
        <v>47</v>
      </c>
      <c r="D711" s="11" t="s">
        <v>1360</v>
      </c>
      <c r="E711" s="17">
        <f>+971551110520</f>
        <v>971551110520</v>
      </c>
      <c r="F711" s="12" t="s">
        <v>1361</v>
      </c>
      <c r="G711" s="9" t="s">
        <v>176</v>
      </c>
      <c r="H711" s="9" t="s">
        <v>41</v>
      </c>
      <c r="I711" s="13"/>
      <c r="J711" s="13"/>
      <c r="K711" s="14"/>
      <c r="L711" s="13"/>
      <c r="M711" s="14"/>
      <c r="N711" s="15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9">
        <v>710.0</v>
      </c>
      <c r="B712" s="10">
        <v>44051.0</v>
      </c>
      <c r="C712" s="9" t="s">
        <v>1206</v>
      </c>
      <c r="D712" s="16" t="s">
        <v>270</v>
      </c>
      <c r="E712" s="9">
        <v>9.660508300887E12</v>
      </c>
      <c r="F712" s="12" t="s">
        <v>271</v>
      </c>
      <c r="G712" s="9" t="s">
        <v>12</v>
      </c>
      <c r="H712" s="9" t="s">
        <v>13</v>
      </c>
      <c r="I712" s="13"/>
      <c r="J712" s="13"/>
      <c r="K712" s="14"/>
      <c r="L712" s="13"/>
      <c r="M712" s="22"/>
      <c r="N712" s="15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9">
        <v>711.0</v>
      </c>
      <c r="B713" s="10">
        <v>44051.0</v>
      </c>
      <c r="C713" s="9" t="s">
        <v>309</v>
      </c>
      <c r="D713" s="11" t="s">
        <v>1362</v>
      </c>
      <c r="E713" s="9">
        <v>9.71503588171E11</v>
      </c>
      <c r="F713" s="12" t="s">
        <v>954</v>
      </c>
      <c r="G713" s="9" t="s">
        <v>190</v>
      </c>
      <c r="H713" s="9" t="s">
        <v>17</v>
      </c>
      <c r="I713" s="13"/>
      <c r="J713" s="13"/>
      <c r="K713" s="14"/>
      <c r="L713" s="13"/>
      <c r="M713" s="14"/>
      <c r="N713" s="15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9">
        <v>712.0</v>
      </c>
      <c r="B714" s="10">
        <v>44051.0</v>
      </c>
      <c r="C714" s="9" t="s">
        <v>309</v>
      </c>
      <c r="D714" s="11" t="s">
        <v>1363</v>
      </c>
      <c r="E714" s="9">
        <v>9.710507735363E12</v>
      </c>
      <c r="F714" s="12" t="s">
        <v>1364</v>
      </c>
      <c r="G714" s="9" t="s">
        <v>400</v>
      </c>
      <c r="H714" s="9" t="s">
        <v>17</v>
      </c>
      <c r="I714" s="13"/>
      <c r="J714" s="13"/>
      <c r="K714" s="14"/>
      <c r="L714" s="13"/>
      <c r="M714" s="14"/>
      <c r="N714" s="15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9">
        <v>713.0</v>
      </c>
      <c r="B715" s="10">
        <v>44051.0</v>
      </c>
      <c r="C715" s="9" t="s">
        <v>309</v>
      </c>
      <c r="D715" s="11" t="s">
        <v>1365</v>
      </c>
      <c r="E715" s="9">
        <v>9.710506706746E12</v>
      </c>
      <c r="F715" s="12" t="s">
        <v>1366</v>
      </c>
      <c r="G715" s="9" t="s">
        <v>52</v>
      </c>
      <c r="H715" s="9" t="s">
        <v>654</v>
      </c>
      <c r="I715" s="13"/>
      <c r="J715" s="13"/>
      <c r="K715" s="14"/>
      <c r="L715" s="13"/>
      <c r="M715" s="14"/>
      <c r="N715" s="15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9">
        <v>714.0</v>
      </c>
      <c r="B716" s="10">
        <v>44051.0</v>
      </c>
      <c r="C716" s="9" t="s">
        <v>1206</v>
      </c>
      <c r="D716" s="16" t="s">
        <v>272</v>
      </c>
      <c r="E716" s="9">
        <v>9.660559297829E12</v>
      </c>
      <c r="F716" s="12" t="s">
        <v>273</v>
      </c>
      <c r="G716" s="9" t="s">
        <v>57</v>
      </c>
      <c r="H716" s="9" t="s">
        <v>41</v>
      </c>
      <c r="I716" s="13"/>
      <c r="J716" s="13"/>
      <c r="K716" s="14"/>
      <c r="L716" s="13"/>
      <c r="M716" s="22"/>
      <c r="N716" s="15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9">
        <v>715.0</v>
      </c>
      <c r="B717" s="10">
        <v>44051.0</v>
      </c>
      <c r="C717" s="9" t="s">
        <v>47</v>
      </c>
      <c r="D717" s="11" t="s">
        <v>1367</v>
      </c>
      <c r="E717" s="17">
        <f>+971509185797</f>
        <v>971509185797</v>
      </c>
      <c r="F717" s="12" t="s">
        <v>1368</v>
      </c>
      <c r="G717" s="9" t="s">
        <v>20</v>
      </c>
      <c r="H717" s="9" t="s">
        <v>13</v>
      </c>
      <c r="I717" s="13"/>
      <c r="J717" s="13"/>
      <c r="K717" s="14"/>
      <c r="L717" s="13"/>
      <c r="M717" s="14"/>
      <c r="N717" s="15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9">
        <v>716.0</v>
      </c>
      <c r="B718" s="10">
        <v>44051.0</v>
      </c>
      <c r="C718" s="9" t="s">
        <v>1315</v>
      </c>
      <c r="D718" s="11" t="s">
        <v>1369</v>
      </c>
      <c r="E718" s="9">
        <v>9.710502854584E12</v>
      </c>
      <c r="F718" s="12" t="s">
        <v>1370</v>
      </c>
      <c r="G718" s="9" t="s">
        <v>300</v>
      </c>
      <c r="H718" s="9" t="s">
        <v>17</v>
      </c>
      <c r="I718" s="13"/>
      <c r="J718" s="13"/>
      <c r="K718" s="14"/>
      <c r="L718" s="13"/>
      <c r="M718" s="14"/>
      <c r="N718" s="15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9">
        <v>717.0</v>
      </c>
      <c r="B719" s="10">
        <v>44051.0</v>
      </c>
      <c r="C719" s="9" t="s">
        <v>309</v>
      </c>
      <c r="D719" s="11" t="s">
        <v>1371</v>
      </c>
      <c r="E719" s="9">
        <v>9.71507676234E11</v>
      </c>
      <c r="F719" s="12" t="s">
        <v>1372</v>
      </c>
      <c r="G719" s="9" t="s">
        <v>57</v>
      </c>
      <c r="H719" s="9" t="s">
        <v>17</v>
      </c>
      <c r="I719" s="13"/>
      <c r="J719" s="13"/>
      <c r="K719" s="14"/>
      <c r="L719" s="13"/>
      <c r="M719" s="14"/>
      <c r="N719" s="15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9">
        <v>718.0</v>
      </c>
      <c r="B720" s="10">
        <v>44051.0</v>
      </c>
      <c r="C720" s="9" t="s">
        <v>1206</v>
      </c>
      <c r="D720" s="16" t="s">
        <v>294</v>
      </c>
      <c r="E720" s="9">
        <v>9.66505751372E11</v>
      </c>
      <c r="F720" s="12" t="s">
        <v>295</v>
      </c>
      <c r="G720" s="9" t="s">
        <v>12</v>
      </c>
      <c r="H720" s="9" t="s">
        <v>13</v>
      </c>
      <c r="I720" s="13"/>
      <c r="J720" s="13"/>
      <c r="K720" s="14"/>
      <c r="L720" s="13"/>
      <c r="M720" s="22"/>
      <c r="N720" s="15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9">
        <v>719.0</v>
      </c>
      <c r="B721" s="10">
        <v>44051.0</v>
      </c>
      <c r="C721" s="9" t="s">
        <v>1206</v>
      </c>
      <c r="D721" s="16" t="s">
        <v>288</v>
      </c>
      <c r="E721" s="9">
        <v>9.660506535521E12</v>
      </c>
      <c r="F721" s="12" t="s">
        <v>289</v>
      </c>
      <c r="G721" s="9" t="s">
        <v>176</v>
      </c>
      <c r="H721" s="9" t="s">
        <v>41</v>
      </c>
      <c r="I721" s="13"/>
      <c r="J721" s="13"/>
      <c r="K721" s="14"/>
      <c r="L721" s="13"/>
      <c r="M721" s="22"/>
      <c r="N721" s="15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9">
        <v>720.0</v>
      </c>
      <c r="B722" s="10">
        <v>44051.0</v>
      </c>
      <c r="C722" s="9" t="s">
        <v>1206</v>
      </c>
      <c r="D722" s="16" t="s">
        <v>286</v>
      </c>
      <c r="E722" s="9">
        <v>9.660504967202E12</v>
      </c>
      <c r="F722" s="12" t="s">
        <v>287</v>
      </c>
      <c r="G722" s="9" t="s">
        <v>80</v>
      </c>
      <c r="H722" s="9" t="s">
        <v>41</v>
      </c>
      <c r="I722" s="13"/>
      <c r="J722" s="13"/>
      <c r="K722" s="14"/>
      <c r="L722" s="13"/>
      <c r="M722" s="22"/>
      <c r="N722" s="15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9">
        <v>721.0</v>
      </c>
      <c r="B723" s="10">
        <v>44051.0</v>
      </c>
      <c r="C723" s="9" t="s">
        <v>1315</v>
      </c>
      <c r="D723" s="11" t="s">
        <v>1373</v>
      </c>
      <c r="E723" s="9">
        <v>9.710505266669E12</v>
      </c>
      <c r="F723" s="12" t="s">
        <v>1374</v>
      </c>
      <c r="G723" s="9" t="s">
        <v>176</v>
      </c>
      <c r="H723" s="9" t="s">
        <v>41</v>
      </c>
      <c r="I723" s="13"/>
      <c r="J723" s="13"/>
      <c r="K723" s="14"/>
      <c r="L723" s="13"/>
      <c r="M723" s="14"/>
      <c r="N723" s="15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9">
        <v>722.0</v>
      </c>
      <c r="B724" s="10">
        <v>44051.0</v>
      </c>
      <c r="C724" s="9" t="s">
        <v>1206</v>
      </c>
      <c r="D724" s="11" t="s">
        <v>284</v>
      </c>
      <c r="E724" s="9">
        <v>9.660503647336E12</v>
      </c>
      <c r="F724" s="12" t="s">
        <v>285</v>
      </c>
      <c r="G724" s="9" t="s">
        <v>60</v>
      </c>
      <c r="H724" s="9" t="s">
        <v>17</v>
      </c>
      <c r="I724" s="13"/>
      <c r="J724" s="13"/>
      <c r="K724" s="14"/>
      <c r="L724" s="13"/>
      <c r="M724" s="14"/>
      <c r="N724" s="15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9">
        <v>723.0</v>
      </c>
      <c r="B725" s="10">
        <v>44050.0</v>
      </c>
      <c r="C725" s="9" t="s">
        <v>309</v>
      </c>
      <c r="D725" s="11" t="s">
        <v>341</v>
      </c>
      <c r="E725" s="9">
        <v>9.710526199077E12</v>
      </c>
      <c r="F725" s="12" t="s">
        <v>342</v>
      </c>
      <c r="G725" s="9" t="s">
        <v>176</v>
      </c>
      <c r="H725" s="9" t="s">
        <v>41</v>
      </c>
      <c r="I725" s="13"/>
      <c r="J725" s="13"/>
      <c r="K725" s="14"/>
      <c r="L725" s="13"/>
      <c r="M725" s="14"/>
      <c r="N725" s="15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9">
        <v>724.0</v>
      </c>
      <c r="B726" s="10">
        <v>44050.0</v>
      </c>
      <c r="C726" s="9" t="s">
        <v>309</v>
      </c>
      <c r="D726" s="16" t="s">
        <v>1375</v>
      </c>
      <c r="E726" s="9">
        <v>9.710503901666E12</v>
      </c>
      <c r="F726" s="12" t="s">
        <v>1376</v>
      </c>
      <c r="G726" s="9" t="s">
        <v>176</v>
      </c>
      <c r="H726" s="9" t="s">
        <v>41</v>
      </c>
      <c r="I726" s="13"/>
      <c r="J726" s="13"/>
      <c r="K726" s="14"/>
      <c r="L726" s="13"/>
      <c r="M726" s="22"/>
      <c r="N726" s="15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9">
        <v>725.0</v>
      </c>
      <c r="B727" s="10">
        <v>44050.0</v>
      </c>
      <c r="C727" s="9" t="s">
        <v>309</v>
      </c>
      <c r="D727" s="11" t="s">
        <v>1377</v>
      </c>
      <c r="E727" s="26">
        <v>9.7101E16</v>
      </c>
      <c r="F727" s="12" t="s">
        <v>1378</v>
      </c>
      <c r="G727" s="9" t="s">
        <v>57</v>
      </c>
      <c r="H727" s="9" t="s">
        <v>17</v>
      </c>
      <c r="I727" s="13"/>
      <c r="J727" s="13"/>
      <c r="K727" s="14"/>
      <c r="L727" s="13"/>
      <c r="M727" s="14"/>
      <c r="N727" s="15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9">
        <v>726.0</v>
      </c>
      <c r="B728" s="10">
        <v>44050.0</v>
      </c>
      <c r="C728" s="9" t="s">
        <v>47</v>
      </c>
      <c r="D728" s="11" t="s">
        <v>1379</v>
      </c>
      <c r="E728" s="17">
        <f>+971555838582</f>
        <v>971555838582</v>
      </c>
      <c r="F728" s="12" t="s">
        <v>1380</v>
      </c>
      <c r="G728" s="9" t="s">
        <v>80</v>
      </c>
      <c r="H728" s="9" t="s">
        <v>17</v>
      </c>
      <c r="I728" s="13"/>
      <c r="J728" s="13"/>
      <c r="K728" s="14"/>
      <c r="L728" s="13"/>
      <c r="M728" s="14"/>
      <c r="N728" s="15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9">
        <v>727.0</v>
      </c>
      <c r="B729" s="10">
        <v>44050.0</v>
      </c>
      <c r="C729" s="9" t="s">
        <v>1206</v>
      </c>
      <c r="D729" s="11" t="s">
        <v>282</v>
      </c>
      <c r="E729" s="9">
        <v>9.66508725984E11</v>
      </c>
      <c r="F729" s="12" t="s">
        <v>283</v>
      </c>
      <c r="G729" s="9" t="s">
        <v>60</v>
      </c>
      <c r="H729" s="9" t="s">
        <v>41</v>
      </c>
      <c r="I729" s="13"/>
      <c r="J729" s="13"/>
      <c r="K729" s="14"/>
      <c r="L729" s="13"/>
      <c r="M729" s="14"/>
      <c r="N729" s="15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9">
        <v>728.0</v>
      </c>
      <c r="B730" s="10">
        <v>44050.0</v>
      </c>
      <c r="C730" s="9" t="s">
        <v>1206</v>
      </c>
      <c r="D730" s="16" t="s">
        <v>350</v>
      </c>
      <c r="E730" s="9">
        <v>9.66054915604E12</v>
      </c>
      <c r="F730" s="12" t="s">
        <v>351</v>
      </c>
      <c r="G730" s="9" t="s">
        <v>80</v>
      </c>
      <c r="H730" s="9" t="s">
        <v>41</v>
      </c>
      <c r="I730" s="13"/>
      <c r="J730" s="13"/>
      <c r="K730" s="14"/>
      <c r="L730" s="13"/>
      <c r="M730" s="22"/>
      <c r="N730" s="15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9">
        <v>729.0</v>
      </c>
      <c r="B731" s="10">
        <v>44050.0</v>
      </c>
      <c r="C731" s="9" t="s">
        <v>47</v>
      </c>
      <c r="D731" s="11" t="s">
        <v>1381</v>
      </c>
      <c r="E731" s="17">
        <f>+9710551683946</f>
        <v>9710551683946</v>
      </c>
      <c r="F731" s="12" t="s">
        <v>1382</v>
      </c>
      <c r="G731" s="9" t="s">
        <v>35</v>
      </c>
      <c r="H731" s="9" t="s">
        <v>206</v>
      </c>
      <c r="I731" s="13"/>
      <c r="J731" s="13"/>
      <c r="K731" s="14"/>
      <c r="L731" s="13"/>
      <c r="M731" s="14"/>
      <c r="N731" s="15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9">
        <v>730.0</v>
      </c>
      <c r="B732" s="10">
        <v>44050.0</v>
      </c>
      <c r="C732" s="9" t="s">
        <v>309</v>
      </c>
      <c r="D732" s="16" t="s">
        <v>352</v>
      </c>
      <c r="E732" s="9">
        <v>9.710504271732E12</v>
      </c>
      <c r="F732" s="12" t="s">
        <v>353</v>
      </c>
      <c r="G732" s="9" t="s">
        <v>176</v>
      </c>
      <c r="H732" s="9" t="s">
        <v>41</v>
      </c>
      <c r="I732" s="13"/>
      <c r="J732" s="13"/>
      <c r="K732" s="14"/>
      <c r="L732" s="13"/>
      <c r="M732" s="22"/>
      <c r="N732" s="15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9">
        <v>731.0</v>
      </c>
      <c r="B733" s="10">
        <v>44050.0</v>
      </c>
      <c r="C733" s="9" t="s">
        <v>309</v>
      </c>
      <c r="D733" s="16" t="s">
        <v>1383</v>
      </c>
      <c r="E733" s="9">
        <v>9.710506524666E12</v>
      </c>
      <c r="F733" s="12" t="s">
        <v>1384</v>
      </c>
      <c r="G733" s="9" t="s">
        <v>60</v>
      </c>
      <c r="H733" s="9" t="s">
        <v>21</v>
      </c>
      <c r="I733" s="13"/>
      <c r="J733" s="13"/>
      <c r="K733" s="14"/>
      <c r="L733" s="13"/>
      <c r="M733" s="22"/>
      <c r="N733" s="15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9">
        <v>732.0</v>
      </c>
      <c r="B734" s="10">
        <v>44050.0</v>
      </c>
      <c r="C734" s="9" t="s">
        <v>309</v>
      </c>
      <c r="D734" s="16" t="s">
        <v>1385</v>
      </c>
      <c r="E734" s="9">
        <v>9.71589685263E11</v>
      </c>
      <c r="F734" s="12" t="s">
        <v>1386</v>
      </c>
      <c r="G734" s="9" t="s">
        <v>176</v>
      </c>
      <c r="H734" s="9" t="s">
        <v>73</v>
      </c>
      <c r="I734" s="13"/>
      <c r="J734" s="13"/>
      <c r="K734" s="14"/>
      <c r="L734" s="13"/>
      <c r="M734" s="22"/>
      <c r="N734" s="15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9">
        <v>733.0</v>
      </c>
      <c r="B735" s="10">
        <v>44050.0</v>
      </c>
      <c r="C735" s="9" t="s">
        <v>47</v>
      </c>
      <c r="D735" s="11" t="s">
        <v>369</v>
      </c>
      <c r="E735" s="17">
        <f>+9710508819988</f>
        <v>9710508819988</v>
      </c>
      <c r="F735" s="12" t="s">
        <v>370</v>
      </c>
      <c r="G735" s="9" t="s">
        <v>28</v>
      </c>
      <c r="H735" s="9" t="s">
        <v>13</v>
      </c>
      <c r="I735" s="13"/>
      <c r="J735" s="13"/>
      <c r="K735" s="14"/>
      <c r="L735" s="13"/>
      <c r="M735" s="14"/>
      <c r="N735" s="15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9">
        <v>734.0</v>
      </c>
      <c r="B736" s="10">
        <v>44050.0</v>
      </c>
      <c r="C736" s="9" t="s">
        <v>1315</v>
      </c>
      <c r="D736" s="11" t="s">
        <v>1387</v>
      </c>
      <c r="E736" s="9">
        <v>9.71564778062E11</v>
      </c>
      <c r="F736" s="12" t="s">
        <v>1388</v>
      </c>
      <c r="G736" s="9" t="s">
        <v>176</v>
      </c>
      <c r="H736" s="9" t="s">
        <v>41</v>
      </c>
      <c r="I736" s="13"/>
      <c r="J736" s="13"/>
      <c r="K736" s="14"/>
      <c r="L736" s="13"/>
      <c r="M736" s="14"/>
      <c r="N736" s="15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9">
        <v>735.0</v>
      </c>
      <c r="B737" s="10">
        <v>44050.0</v>
      </c>
      <c r="C737" s="9" t="s">
        <v>47</v>
      </c>
      <c r="D737" s="11" t="s">
        <v>367</v>
      </c>
      <c r="E737" s="17">
        <f>+971585862603</f>
        <v>971585862603</v>
      </c>
      <c r="F737" s="12" t="s">
        <v>368</v>
      </c>
      <c r="G737" s="9" t="s">
        <v>176</v>
      </c>
      <c r="H737" s="9" t="s">
        <v>41</v>
      </c>
      <c r="I737" s="13"/>
      <c r="J737" s="13"/>
      <c r="K737" s="14"/>
      <c r="L737" s="13"/>
      <c r="M737" s="14"/>
      <c r="N737" s="15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9">
        <v>736.0</v>
      </c>
      <c r="B738" s="10">
        <v>44049.0</v>
      </c>
      <c r="C738" s="9" t="s">
        <v>309</v>
      </c>
      <c r="D738" s="11" t="s">
        <v>365</v>
      </c>
      <c r="E738" s="9">
        <v>9.710506444373E12</v>
      </c>
      <c r="F738" s="12" t="s">
        <v>366</v>
      </c>
      <c r="G738" s="9" t="s">
        <v>28</v>
      </c>
      <c r="H738" s="9" t="s">
        <v>13</v>
      </c>
      <c r="I738" s="13"/>
      <c r="J738" s="13"/>
      <c r="K738" s="14"/>
      <c r="L738" s="13"/>
      <c r="M738" s="14"/>
      <c r="N738" s="15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9">
        <v>737.0</v>
      </c>
      <c r="B739" s="10">
        <v>44049.0</v>
      </c>
      <c r="C739" s="9" t="s">
        <v>309</v>
      </c>
      <c r="D739" s="16" t="s">
        <v>388</v>
      </c>
      <c r="E739" s="9">
        <v>9.710569084108E12</v>
      </c>
      <c r="F739" s="12" t="s">
        <v>389</v>
      </c>
      <c r="G739" s="9" t="s">
        <v>80</v>
      </c>
      <c r="H739" s="9" t="s">
        <v>41</v>
      </c>
      <c r="I739" s="13"/>
      <c r="J739" s="13"/>
      <c r="K739" s="14"/>
      <c r="L739" s="13"/>
      <c r="M739" s="22"/>
      <c r="N739" s="15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9">
        <v>738.0</v>
      </c>
      <c r="B740" s="10">
        <v>44049.0</v>
      </c>
      <c r="C740" s="9" t="s">
        <v>47</v>
      </c>
      <c r="D740" s="11" t="s">
        <v>1389</v>
      </c>
      <c r="E740" s="9">
        <v>5.26644585E8</v>
      </c>
      <c r="F740" s="12" t="s">
        <v>1390</v>
      </c>
      <c r="G740" s="9" t="s">
        <v>176</v>
      </c>
      <c r="H740" s="9" t="s">
        <v>81</v>
      </c>
      <c r="I740" s="13"/>
      <c r="J740" s="13"/>
      <c r="K740" s="14"/>
      <c r="L740" s="13"/>
      <c r="M740" s="14"/>
      <c r="N740" s="15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9">
        <v>739.0</v>
      </c>
      <c r="B741" s="10">
        <v>44049.0</v>
      </c>
      <c r="C741" s="9" t="s">
        <v>1315</v>
      </c>
      <c r="D741" s="11" t="s">
        <v>1391</v>
      </c>
      <c r="E741" s="9">
        <v>9.710507362699E12</v>
      </c>
      <c r="F741" s="12" t="s">
        <v>1392</v>
      </c>
      <c r="G741" s="9" t="s">
        <v>80</v>
      </c>
      <c r="H741" s="9" t="s">
        <v>21</v>
      </c>
      <c r="I741" s="13"/>
      <c r="J741" s="13"/>
      <c r="K741" s="14"/>
      <c r="L741" s="13"/>
      <c r="M741" s="14"/>
      <c r="N741" s="15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9">
        <v>740.0</v>
      </c>
      <c r="B742" s="10">
        <v>44049.0</v>
      </c>
      <c r="C742" s="9" t="s">
        <v>47</v>
      </c>
      <c r="D742" s="11" t="s">
        <v>373</v>
      </c>
      <c r="E742" s="17">
        <f>+9710507158695</f>
        <v>9710507158695</v>
      </c>
      <c r="F742" s="12" t="s">
        <v>374</v>
      </c>
      <c r="G742" s="9" t="s">
        <v>28</v>
      </c>
      <c r="H742" s="9" t="s">
        <v>13</v>
      </c>
      <c r="I742" s="13"/>
      <c r="J742" s="13"/>
      <c r="K742" s="14"/>
      <c r="L742" s="13"/>
      <c r="M742" s="14"/>
      <c r="N742" s="15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9">
        <v>741.0</v>
      </c>
      <c r="B743" s="10">
        <v>44049.0</v>
      </c>
      <c r="C743" s="9" t="s">
        <v>309</v>
      </c>
      <c r="D743" s="11" t="s">
        <v>362</v>
      </c>
      <c r="E743" s="9">
        <v>9.710558048777E12</v>
      </c>
      <c r="F743" s="12" t="s">
        <v>363</v>
      </c>
      <c r="G743" s="9" t="s">
        <v>80</v>
      </c>
      <c r="H743" s="9" t="s">
        <v>81</v>
      </c>
      <c r="I743" s="13"/>
      <c r="J743" s="13"/>
      <c r="K743" s="14"/>
      <c r="L743" s="13"/>
      <c r="M743" s="14"/>
      <c r="N743" s="15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9">
        <v>742.0</v>
      </c>
      <c r="B744" s="10">
        <v>44049.0</v>
      </c>
      <c r="C744" s="9" t="s">
        <v>47</v>
      </c>
      <c r="D744" s="11" t="s">
        <v>371</v>
      </c>
      <c r="E744" s="17">
        <f>+971509570700</f>
        <v>971509570700</v>
      </c>
      <c r="F744" s="12" t="s">
        <v>372</v>
      </c>
      <c r="G744" s="9" t="s">
        <v>28</v>
      </c>
      <c r="H744" s="9" t="s">
        <v>13</v>
      </c>
      <c r="I744" s="13"/>
      <c r="J744" s="13"/>
      <c r="K744" s="14"/>
      <c r="L744" s="13"/>
      <c r="M744" s="14"/>
      <c r="N744" s="15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9">
        <v>743.0</v>
      </c>
      <c r="B745" s="10">
        <v>44049.0</v>
      </c>
      <c r="C745" s="9" t="s">
        <v>1315</v>
      </c>
      <c r="D745" s="11" t="s">
        <v>1393</v>
      </c>
      <c r="E745" s="9">
        <v>9.710504160227E12</v>
      </c>
      <c r="F745" s="12" t="s">
        <v>1394</v>
      </c>
      <c r="G745" s="9" t="s">
        <v>28</v>
      </c>
      <c r="H745" s="9" t="s">
        <v>13</v>
      </c>
      <c r="I745" s="13"/>
      <c r="J745" s="13"/>
      <c r="K745" s="14"/>
      <c r="L745" s="13"/>
      <c r="M745" s="14"/>
      <c r="N745" s="15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9">
        <v>744.0</v>
      </c>
      <c r="B746" s="10">
        <v>44049.0</v>
      </c>
      <c r="C746" s="9" t="s">
        <v>1315</v>
      </c>
      <c r="D746" s="11" t="s">
        <v>1395</v>
      </c>
      <c r="E746" s="9">
        <v>9.71582485666E11</v>
      </c>
      <c r="F746" s="12" t="s">
        <v>1396</v>
      </c>
      <c r="G746" s="9" t="s">
        <v>176</v>
      </c>
      <c r="H746" s="9" t="s">
        <v>17</v>
      </c>
      <c r="I746" s="13"/>
      <c r="J746" s="13"/>
      <c r="K746" s="14"/>
      <c r="L746" s="13"/>
      <c r="M746" s="14"/>
      <c r="N746" s="15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9">
        <v>745.0</v>
      </c>
      <c r="B747" s="10">
        <v>44049.0</v>
      </c>
      <c r="C747" s="9" t="s">
        <v>309</v>
      </c>
      <c r="D747" s="11" t="s">
        <v>362</v>
      </c>
      <c r="E747" s="9">
        <v>9.710555119916E12</v>
      </c>
      <c r="F747" s="12" t="s">
        <v>1397</v>
      </c>
      <c r="G747" s="9" t="s">
        <v>60</v>
      </c>
      <c r="H747" s="9" t="s">
        <v>21</v>
      </c>
      <c r="I747" s="13"/>
      <c r="J747" s="13"/>
      <c r="K747" s="14"/>
      <c r="L747" s="13"/>
      <c r="M747" s="14"/>
      <c r="N747" s="15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9">
        <v>746.0</v>
      </c>
      <c r="B748" s="10">
        <v>44049.0</v>
      </c>
      <c r="C748" s="9" t="s">
        <v>1315</v>
      </c>
      <c r="D748" s="11" t="s">
        <v>1398</v>
      </c>
      <c r="E748" s="9">
        <v>9.7155106529E11</v>
      </c>
      <c r="F748" s="12" t="s">
        <v>1399</v>
      </c>
      <c r="G748" s="9" t="s">
        <v>300</v>
      </c>
      <c r="H748" s="9" t="s">
        <v>17</v>
      </c>
      <c r="I748" s="13"/>
      <c r="J748" s="13"/>
      <c r="K748" s="14"/>
      <c r="L748" s="13"/>
      <c r="M748" s="14"/>
      <c r="N748" s="15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9">
        <v>747.0</v>
      </c>
      <c r="B749" s="10">
        <v>44049.0</v>
      </c>
      <c r="C749" s="9" t="s">
        <v>309</v>
      </c>
      <c r="D749" s="11" t="s">
        <v>1400</v>
      </c>
      <c r="E749" s="9">
        <v>9.71506577653E11</v>
      </c>
      <c r="F749" s="12" t="s">
        <v>1401</v>
      </c>
      <c r="G749" s="9" t="s">
        <v>432</v>
      </c>
      <c r="H749" s="9" t="s">
        <v>21</v>
      </c>
      <c r="I749" s="13"/>
      <c r="J749" s="13"/>
      <c r="K749" s="14"/>
      <c r="L749" s="13"/>
      <c r="M749" s="14"/>
      <c r="N749" s="15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9">
        <v>748.0</v>
      </c>
      <c r="B750" s="10">
        <v>44049.0</v>
      </c>
      <c r="C750" s="9" t="s">
        <v>309</v>
      </c>
      <c r="D750" s="11" t="s">
        <v>1402</v>
      </c>
      <c r="E750" s="9">
        <v>9.71504305059E11</v>
      </c>
      <c r="F750" s="12" t="s">
        <v>1403</v>
      </c>
      <c r="G750" s="9" t="s">
        <v>12</v>
      </c>
      <c r="H750" s="9" t="s">
        <v>17</v>
      </c>
      <c r="I750" s="13"/>
      <c r="J750" s="13"/>
      <c r="K750" s="14"/>
      <c r="L750" s="13"/>
      <c r="M750" s="14"/>
      <c r="N750" s="15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9">
        <v>749.0</v>
      </c>
      <c r="B751" s="10">
        <v>44049.0</v>
      </c>
      <c r="C751" s="9" t="s">
        <v>47</v>
      </c>
      <c r="D751" s="11" t="s">
        <v>375</v>
      </c>
      <c r="E751" s="17">
        <f>+971586897536</f>
        <v>971586897536</v>
      </c>
      <c r="F751" s="12" t="s">
        <v>376</v>
      </c>
      <c r="G751" s="9" t="s">
        <v>28</v>
      </c>
      <c r="H751" s="9" t="s">
        <v>13</v>
      </c>
      <c r="I751" s="13"/>
      <c r="J751" s="13"/>
      <c r="K751" s="14"/>
      <c r="L751" s="13"/>
      <c r="M751" s="14"/>
      <c r="N751" s="15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9">
        <v>750.0</v>
      </c>
      <c r="B752" s="10">
        <v>44049.0</v>
      </c>
      <c r="C752" s="9" t="s">
        <v>1315</v>
      </c>
      <c r="D752" s="11" t="s">
        <v>1404</v>
      </c>
      <c r="E752" s="9">
        <v>9.710505523199E12</v>
      </c>
      <c r="F752" s="12" t="s">
        <v>1405</v>
      </c>
      <c r="G752" s="9" t="s">
        <v>176</v>
      </c>
      <c r="H752" s="9" t="s">
        <v>41</v>
      </c>
      <c r="I752" s="13"/>
      <c r="J752" s="13"/>
      <c r="K752" s="14"/>
      <c r="L752" s="13"/>
      <c r="M752" s="14"/>
      <c r="N752" s="15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9">
        <v>751.0</v>
      </c>
      <c r="B753" s="10">
        <v>44049.0</v>
      </c>
      <c r="C753" s="9" t="s">
        <v>1315</v>
      </c>
      <c r="D753" s="11" t="s">
        <v>1406</v>
      </c>
      <c r="E753" s="9">
        <v>9.710567271634E12</v>
      </c>
      <c r="F753" s="12" t="s">
        <v>1407</v>
      </c>
      <c r="G753" s="9" t="s">
        <v>80</v>
      </c>
      <c r="H753" s="9" t="s">
        <v>81</v>
      </c>
      <c r="I753" s="13"/>
      <c r="J753" s="13"/>
      <c r="K753" s="14"/>
      <c r="L753" s="13"/>
      <c r="M753" s="14"/>
      <c r="N753" s="15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9">
        <v>752.0</v>
      </c>
      <c r="B754" s="10">
        <v>44049.0</v>
      </c>
      <c r="C754" s="9" t="s">
        <v>1315</v>
      </c>
      <c r="D754" s="11" t="s">
        <v>1408</v>
      </c>
      <c r="E754" s="9">
        <v>9.71565004428E11</v>
      </c>
      <c r="F754" s="12" t="s">
        <v>1409</v>
      </c>
      <c r="G754" s="9" t="s">
        <v>28</v>
      </c>
      <c r="H754" s="9" t="s">
        <v>13</v>
      </c>
      <c r="I754" s="13"/>
      <c r="J754" s="13"/>
      <c r="K754" s="14"/>
      <c r="L754" s="13"/>
      <c r="M754" s="14"/>
      <c r="N754" s="15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9">
        <v>753.0</v>
      </c>
      <c r="B755" s="10">
        <v>44049.0</v>
      </c>
      <c r="C755" s="9" t="s">
        <v>1315</v>
      </c>
      <c r="D755" s="11" t="s">
        <v>1410</v>
      </c>
      <c r="E755" s="9">
        <v>9.71504629313E11</v>
      </c>
      <c r="F755" s="12" t="s">
        <v>1411</v>
      </c>
      <c r="G755" s="9" t="s">
        <v>12</v>
      </c>
      <c r="H755" s="9" t="s">
        <v>17</v>
      </c>
      <c r="I755" s="13"/>
      <c r="J755" s="13"/>
      <c r="K755" s="14"/>
      <c r="L755" s="13"/>
      <c r="M755" s="14"/>
      <c r="N755" s="15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9">
        <v>754.0</v>
      </c>
      <c r="B756" s="10">
        <v>44049.0</v>
      </c>
      <c r="C756" s="9" t="s">
        <v>47</v>
      </c>
      <c r="D756" s="11" t="s">
        <v>1412</v>
      </c>
      <c r="E756" s="9">
        <v>9.710568966496E12</v>
      </c>
      <c r="F756" s="12" t="s">
        <v>1413</v>
      </c>
      <c r="G756" s="9" t="s">
        <v>80</v>
      </c>
      <c r="H756" s="9" t="s">
        <v>41</v>
      </c>
      <c r="I756" s="13"/>
      <c r="J756" s="13"/>
      <c r="K756" s="14"/>
      <c r="L756" s="13"/>
      <c r="M756" s="14"/>
      <c r="N756" s="15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9">
        <v>755.0</v>
      </c>
      <c r="B757" s="10">
        <v>44049.0</v>
      </c>
      <c r="C757" s="9" t="s">
        <v>47</v>
      </c>
      <c r="D757" s="11" t="s">
        <v>379</v>
      </c>
      <c r="E757" s="17">
        <f>+971528737374</f>
        <v>971528737374</v>
      </c>
      <c r="F757" s="12" t="s">
        <v>380</v>
      </c>
      <c r="G757" s="9" t="s">
        <v>176</v>
      </c>
      <c r="H757" s="9" t="s">
        <v>17</v>
      </c>
      <c r="I757" s="13"/>
      <c r="J757" s="13"/>
      <c r="K757" s="14"/>
      <c r="L757" s="13"/>
      <c r="M757" s="14"/>
      <c r="N757" s="15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9">
        <v>756.0</v>
      </c>
      <c r="B758" s="10">
        <v>44049.0</v>
      </c>
      <c r="C758" s="9" t="s">
        <v>1315</v>
      </c>
      <c r="D758" s="11" t="s">
        <v>1414</v>
      </c>
      <c r="E758" s="9">
        <v>9.7105645045529E13</v>
      </c>
      <c r="F758" s="12" t="s">
        <v>1415</v>
      </c>
      <c r="G758" s="9" t="s">
        <v>28</v>
      </c>
      <c r="H758" s="9" t="s">
        <v>13</v>
      </c>
      <c r="I758" s="13"/>
      <c r="J758" s="13"/>
      <c r="K758" s="14"/>
      <c r="L758" s="13"/>
      <c r="M758" s="14"/>
      <c r="N758" s="15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9">
        <v>757.0</v>
      </c>
      <c r="B759" s="10">
        <v>44049.0</v>
      </c>
      <c r="C759" s="9" t="s">
        <v>1206</v>
      </c>
      <c r="D759" s="16" t="s">
        <v>1416</v>
      </c>
      <c r="E759" s="9">
        <v>9.660546353738E12</v>
      </c>
      <c r="F759" s="12" t="s">
        <v>1417</v>
      </c>
      <c r="G759" s="9" t="s">
        <v>28</v>
      </c>
      <c r="H759" s="9" t="s">
        <v>13</v>
      </c>
      <c r="I759" s="13"/>
      <c r="J759" s="13"/>
      <c r="K759" s="14"/>
      <c r="L759" s="13"/>
      <c r="M759" s="22"/>
      <c r="N759" s="15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9">
        <v>758.0</v>
      </c>
      <c r="B760" s="10">
        <v>44049.0</v>
      </c>
      <c r="C760" s="9" t="s">
        <v>1315</v>
      </c>
      <c r="D760" s="11" t="s">
        <v>174</v>
      </c>
      <c r="E760" s="9">
        <v>9.710526391113E12</v>
      </c>
      <c r="F760" s="12" t="s">
        <v>175</v>
      </c>
      <c r="G760" s="9" t="s">
        <v>134</v>
      </c>
      <c r="H760" s="9" t="s">
        <v>41</v>
      </c>
      <c r="I760" s="13"/>
      <c r="J760" s="13"/>
      <c r="K760" s="14"/>
      <c r="L760" s="13"/>
      <c r="M760" s="14"/>
      <c r="N760" s="15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9">
        <v>759.0</v>
      </c>
      <c r="B761" s="10">
        <v>44049.0</v>
      </c>
      <c r="C761" s="9" t="s">
        <v>47</v>
      </c>
      <c r="D761" s="11" t="s">
        <v>1418</v>
      </c>
      <c r="E761" s="17">
        <f>+971501585022</f>
        <v>971501585022</v>
      </c>
      <c r="F761" s="12" t="s">
        <v>1419</v>
      </c>
      <c r="G761" s="9" t="s">
        <v>80</v>
      </c>
      <c r="H761" s="9" t="s">
        <v>81</v>
      </c>
      <c r="I761" s="13"/>
      <c r="J761" s="13"/>
      <c r="K761" s="14"/>
      <c r="L761" s="13"/>
      <c r="M761" s="14"/>
      <c r="N761" s="15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9">
        <v>760.0</v>
      </c>
      <c r="B762" s="10">
        <v>44049.0</v>
      </c>
      <c r="C762" s="9" t="s">
        <v>47</v>
      </c>
      <c r="D762" s="11" t="s">
        <v>1420</v>
      </c>
      <c r="E762" s="17">
        <f>+971525238579</f>
        <v>971525238579</v>
      </c>
      <c r="F762" s="12" t="s">
        <v>1421</v>
      </c>
      <c r="G762" s="9" t="s">
        <v>176</v>
      </c>
      <c r="H762" s="9" t="s">
        <v>41</v>
      </c>
      <c r="I762" s="13"/>
      <c r="J762" s="13"/>
      <c r="K762" s="14"/>
      <c r="L762" s="13"/>
      <c r="M762" s="14"/>
      <c r="N762" s="15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9">
        <v>761.0</v>
      </c>
      <c r="B763" s="10">
        <v>44049.0</v>
      </c>
      <c r="C763" s="9" t="s">
        <v>47</v>
      </c>
      <c r="D763" s="11" t="s">
        <v>1422</v>
      </c>
      <c r="E763" s="17">
        <f>+971554814786</f>
        <v>971554814786</v>
      </c>
      <c r="F763" s="12" t="s">
        <v>1423</v>
      </c>
      <c r="G763" s="9" t="s">
        <v>176</v>
      </c>
      <c r="H763" s="9" t="s">
        <v>41</v>
      </c>
      <c r="I763" s="13"/>
      <c r="J763" s="13"/>
      <c r="K763" s="14"/>
      <c r="L763" s="13"/>
      <c r="M763" s="14"/>
      <c r="N763" s="15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9">
        <v>762.0</v>
      </c>
      <c r="B764" s="10">
        <v>44048.0</v>
      </c>
      <c r="C764" s="9" t="s">
        <v>1315</v>
      </c>
      <c r="D764" s="11" t="s">
        <v>1424</v>
      </c>
      <c r="E764" s="9">
        <v>9.710563296594E12</v>
      </c>
      <c r="F764" s="12" t="s">
        <v>1425</v>
      </c>
      <c r="G764" s="9" t="s">
        <v>57</v>
      </c>
      <c r="H764" s="9" t="s">
        <v>206</v>
      </c>
      <c r="I764" s="13"/>
      <c r="J764" s="13"/>
      <c r="K764" s="14"/>
      <c r="L764" s="13"/>
      <c r="M764" s="14"/>
      <c r="N764" s="15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9">
        <v>763.0</v>
      </c>
      <c r="B765" s="10">
        <v>44048.0</v>
      </c>
      <c r="C765" s="9" t="s">
        <v>1315</v>
      </c>
      <c r="D765" s="11" t="s">
        <v>1426</v>
      </c>
      <c r="E765" s="9">
        <v>9.710509561468E12</v>
      </c>
      <c r="F765" s="12" t="s">
        <v>1427</v>
      </c>
      <c r="G765" s="9" t="s">
        <v>12</v>
      </c>
      <c r="H765" s="9" t="s">
        <v>13</v>
      </c>
      <c r="I765" s="13"/>
      <c r="J765" s="13"/>
      <c r="K765" s="14"/>
      <c r="L765" s="13"/>
      <c r="M765" s="14"/>
      <c r="N765" s="15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9">
        <v>764.0</v>
      </c>
      <c r="B766" s="10">
        <v>44048.0</v>
      </c>
      <c r="C766" s="9" t="s">
        <v>309</v>
      </c>
      <c r="D766" s="11" t="s">
        <v>1428</v>
      </c>
      <c r="E766" s="9">
        <v>9.710554600776E12</v>
      </c>
      <c r="F766" s="12" t="s">
        <v>1429</v>
      </c>
      <c r="G766" s="9" t="s">
        <v>300</v>
      </c>
      <c r="H766" s="9" t="s">
        <v>41</v>
      </c>
      <c r="I766" s="13"/>
      <c r="J766" s="13"/>
      <c r="K766" s="14"/>
      <c r="L766" s="13"/>
      <c r="M766" s="14"/>
      <c r="N766" s="15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9">
        <v>765.0</v>
      </c>
      <c r="B767" s="10">
        <v>44048.0</v>
      </c>
      <c r="C767" s="9" t="s">
        <v>309</v>
      </c>
      <c r="D767" s="11" t="s">
        <v>1255</v>
      </c>
      <c r="E767" s="9">
        <v>9.710505111588E12</v>
      </c>
      <c r="F767" s="12" t="s">
        <v>1430</v>
      </c>
      <c r="G767" s="9" t="s">
        <v>181</v>
      </c>
      <c r="H767" s="9" t="s">
        <v>17</v>
      </c>
      <c r="I767" s="13"/>
      <c r="J767" s="13"/>
      <c r="K767" s="14"/>
      <c r="L767" s="13"/>
      <c r="M767" s="14"/>
      <c r="N767" s="15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9">
        <v>766.0</v>
      </c>
      <c r="B768" s="10">
        <v>44048.0</v>
      </c>
      <c r="C768" s="9" t="s">
        <v>47</v>
      </c>
      <c r="D768" s="11" t="s">
        <v>1431</v>
      </c>
      <c r="E768" s="17">
        <f>+971502220735</f>
        <v>971502220735</v>
      </c>
      <c r="F768" s="12" t="s">
        <v>1432</v>
      </c>
      <c r="G768" s="9" t="s">
        <v>20</v>
      </c>
      <c r="H768" s="9" t="s">
        <v>13</v>
      </c>
      <c r="I768" s="13"/>
      <c r="J768" s="13"/>
      <c r="K768" s="14"/>
      <c r="L768" s="13"/>
      <c r="M768" s="14"/>
      <c r="N768" s="15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9">
        <v>767.0</v>
      </c>
      <c r="B769" s="10">
        <v>44047.0</v>
      </c>
      <c r="C769" s="9" t="s">
        <v>309</v>
      </c>
      <c r="D769" s="11" t="s">
        <v>1433</v>
      </c>
      <c r="E769" s="9">
        <v>9.710526060469E12</v>
      </c>
      <c r="F769" s="12" t="s">
        <v>1434</v>
      </c>
      <c r="G769" s="9" t="s">
        <v>134</v>
      </c>
      <c r="H769" s="9" t="s">
        <v>17</v>
      </c>
      <c r="I769" s="13"/>
      <c r="J769" s="13"/>
      <c r="K769" s="14"/>
      <c r="L769" s="13"/>
      <c r="M769" s="14"/>
      <c r="N769" s="15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9">
        <v>768.0</v>
      </c>
      <c r="B770" s="10">
        <v>44047.0</v>
      </c>
      <c r="C770" s="9" t="s">
        <v>309</v>
      </c>
      <c r="D770" s="11" t="s">
        <v>298</v>
      </c>
      <c r="E770" s="9">
        <v>9.710545361238E12</v>
      </c>
      <c r="F770" s="12" t="s">
        <v>299</v>
      </c>
      <c r="G770" s="9" t="s">
        <v>20</v>
      </c>
      <c r="H770" s="9" t="s">
        <v>13</v>
      </c>
      <c r="I770" s="13"/>
      <c r="J770" s="13"/>
      <c r="K770" s="14"/>
      <c r="L770" s="13"/>
      <c r="M770" s="14"/>
      <c r="N770" s="15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9">
        <v>769.0</v>
      </c>
      <c r="B771" s="10">
        <v>44047.0</v>
      </c>
      <c r="C771" s="9" t="s">
        <v>1315</v>
      </c>
      <c r="D771" s="11" t="s">
        <v>1109</v>
      </c>
      <c r="E771" s="9">
        <v>9.710526561685E12</v>
      </c>
      <c r="F771" s="12" t="s">
        <v>1435</v>
      </c>
      <c r="G771" s="9" t="s">
        <v>80</v>
      </c>
      <c r="H771" s="9" t="s">
        <v>81</v>
      </c>
      <c r="I771" s="13"/>
      <c r="J771" s="13"/>
      <c r="K771" s="14"/>
      <c r="L771" s="13"/>
      <c r="M771" s="14"/>
      <c r="N771" s="15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9">
        <v>770.0</v>
      </c>
      <c r="B772" s="10">
        <v>44047.0</v>
      </c>
      <c r="C772" s="9" t="s">
        <v>438</v>
      </c>
      <c r="D772" s="11" t="s">
        <v>1436</v>
      </c>
      <c r="E772" s="9" t="s">
        <v>410</v>
      </c>
      <c r="F772" s="12" t="s">
        <v>1437</v>
      </c>
      <c r="G772" s="9" t="s">
        <v>455</v>
      </c>
      <c r="H772" s="9" t="s">
        <v>41</v>
      </c>
      <c r="I772" s="13"/>
      <c r="J772" s="13"/>
      <c r="K772" s="14"/>
      <c r="L772" s="13"/>
      <c r="M772" s="14"/>
      <c r="N772" s="14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9">
        <v>771.0</v>
      </c>
      <c r="B773" s="10">
        <v>44047.0</v>
      </c>
      <c r="C773" s="9" t="s">
        <v>47</v>
      </c>
      <c r="D773" s="11" t="s">
        <v>1438</v>
      </c>
      <c r="E773" s="17">
        <f>+9710503780370</f>
        <v>9710503780370</v>
      </c>
      <c r="F773" s="12" t="s">
        <v>1439</v>
      </c>
      <c r="G773" s="9" t="s">
        <v>60</v>
      </c>
      <c r="H773" s="9" t="s">
        <v>21</v>
      </c>
      <c r="I773" s="13"/>
      <c r="J773" s="13"/>
      <c r="K773" s="14"/>
      <c r="L773" s="13"/>
      <c r="M773" s="14"/>
      <c r="N773" s="15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9">
        <v>772.0</v>
      </c>
      <c r="B774" s="10">
        <v>44047.0</v>
      </c>
      <c r="C774" s="9" t="s">
        <v>1315</v>
      </c>
      <c r="D774" s="11" t="s">
        <v>1440</v>
      </c>
      <c r="E774" s="9">
        <v>9.710506619422E12</v>
      </c>
      <c r="F774" s="12" t="s">
        <v>1441</v>
      </c>
      <c r="G774" s="9" t="s">
        <v>176</v>
      </c>
      <c r="H774" s="9" t="s">
        <v>41</v>
      </c>
      <c r="I774" s="13"/>
      <c r="J774" s="13"/>
      <c r="K774" s="14"/>
      <c r="L774" s="13"/>
      <c r="M774" s="14"/>
      <c r="N774" s="15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9">
        <v>773.0</v>
      </c>
      <c r="B775" s="10">
        <v>44047.0</v>
      </c>
      <c r="C775" s="9" t="s">
        <v>1315</v>
      </c>
      <c r="D775" s="11" t="s">
        <v>1442</v>
      </c>
      <c r="E775" s="9">
        <v>9.710557661669E12</v>
      </c>
      <c r="F775" s="12" t="s">
        <v>1443</v>
      </c>
      <c r="G775" s="9" t="s">
        <v>176</v>
      </c>
      <c r="H775" s="9" t="s">
        <v>81</v>
      </c>
      <c r="I775" s="13"/>
      <c r="J775" s="13"/>
      <c r="K775" s="14"/>
      <c r="L775" s="13"/>
      <c r="M775" s="14"/>
      <c r="N775" s="15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9">
        <v>774.0</v>
      </c>
      <c r="B776" s="10">
        <v>44047.0</v>
      </c>
      <c r="C776" s="9" t="s">
        <v>309</v>
      </c>
      <c r="D776" s="16" t="s">
        <v>213</v>
      </c>
      <c r="E776" s="9">
        <v>9.71050490777E12</v>
      </c>
      <c r="F776" s="12" t="s">
        <v>214</v>
      </c>
      <c r="G776" s="9" t="s">
        <v>80</v>
      </c>
      <c r="H776" s="9" t="s">
        <v>41</v>
      </c>
      <c r="I776" s="13"/>
      <c r="J776" s="13"/>
      <c r="K776" s="14"/>
      <c r="L776" s="13"/>
      <c r="M776" s="22"/>
      <c r="N776" s="15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9">
        <v>775.0</v>
      </c>
      <c r="B777" s="10">
        <v>44047.0</v>
      </c>
      <c r="C777" s="9" t="s">
        <v>309</v>
      </c>
      <c r="D777" s="16" t="s">
        <v>1231</v>
      </c>
      <c r="E777" s="9">
        <v>9.71050410809E12</v>
      </c>
      <c r="F777" s="12" t="s">
        <v>1444</v>
      </c>
      <c r="G777" s="9" t="s">
        <v>181</v>
      </c>
      <c r="H777" s="9" t="s">
        <v>17</v>
      </c>
      <c r="I777" s="13"/>
      <c r="J777" s="13"/>
      <c r="K777" s="14"/>
      <c r="L777" s="13"/>
      <c r="M777" s="22"/>
      <c r="N777" s="15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9">
        <v>776.0</v>
      </c>
      <c r="B778" s="10">
        <v>44047.0</v>
      </c>
      <c r="C778" s="9" t="s">
        <v>309</v>
      </c>
      <c r="D778" s="11" t="s">
        <v>207</v>
      </c>
      <c r="E778" s="9">
        <v>9.71501491776E11</v>
      </c>
      <c r="F778" s="12" t="s">
        <v>208</v>
      </c>
      <c r="G778" s="9" t="s">
        <v>134</v>
      </c>
      <c r="H778" s="9" t="s">
        <v>41</v>
      </c>
      <c r="I778" s="13"/>
      <c r="J778" s="13"/>
      <c r="K778" s="14"/>
      <c r="L778" s="13"/>
      <c r="M778" s="14"/>
      <c r="N778" s="15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9">
        <v>777.0</v>
      </c>
      <c r="B779" s="10">
        <v>44047.0</v>
      </c>
      <c r="C779" s="9" t="s">
        <v>1206</v>
      </c>
      <c r="D779" s="16" t="s">
        <v>219</v>
      </c>
      <c r="E779" s="9">
        <v>9.710538803952E12</v>
      </c>
      <c r="F779" s="12" t="s">
        <v>220</v>
      </c>
      <c r="G779" s="9" t="s">
        <v>176</v>
      </c>
      <c r="H779" s="9" t="s">
        <v>41</v>
      </c>
      <c r="I779" s="13"/>
      <c r="J779" s="13"/>
      <c r="K779" s="14"/>
      <c r="L779" s="13"/>
      <c r="M779" s="22"/>
      <c r="N779" s="15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9">
        <v>778.0</v>
      </c>
      <c r="B780" s="10">
        <v>44047.0</v>
      </c>
      <c r="C780" s="9" t="s">
        <v>309</v>
      </c>
      <c r="D780" s="16" t="s">
        <v>241</v>
      </c>
      <c r="E780" s="9">
        <v>9.710501144413E12</v>
      </c>
      <c r="F780" s="12" t="s">
        <v>242</v>
      </c>
      <c r="G780" s="9" t="s">
        <v>134</v>
      </c>
      <c r="H780" s="9" t="s">
        <v>17</v>
      </c>
      <c r="I780" s="13"/>
      <c r="J780" s="13"/>
      <c r="K780" s="14"/>
      <c r="L780" s="13"/>
      <c r="M780" s="22"/>
      <c r="N780" s="15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9">
        <v>779.0</v>
      </c>
      <c r="B781" s="10">
        <v>44047.0</v>
      </c>
      <c r="C781" s="9" t="s">
        <v>47</v>
      </c>
      <c r="D781" s="11" t="s">
        <v>1445</v>
      </c>
      <c r="E781" s="17">
        <f>+971543595050</f>
        <v>971543595050</v>
      </c>
      <c r="F781" s="12" t="s">
        <v>900</v>
      </c>
      <c r="G781" s="9" t="s">
        <v>80</v>
      </c>
      <c r="H781" s="9" t="s">
        <v>81</v>
      </c>
      <c r="I781" s="13"/>
      <c r="J781" s="13"/>
      <c r="K781" s="14"/>
      <c r="L781" s="13"/>
      <c r="M781" s="14"/>
      <c r="N781" s="15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9">
        <v>780.0</v>
      </c>
      <c r="B782" s="10">
        <v>44047.0</v>
      </c>
      <c r="C782" s="9" t="s">
        <v>309</v>
      </c>
      <c r="D782" s="11" t="s">
        <v>1446</v>
      </c>
      <c r="E782" s="9">
        <v>9.71056557518E12</v>
      </c>
      <c r="F782" s="12" t="s">
        <v>1447</v>
      </c>
      <c r="G782" s="9" t="s">
        <v>400</v>
      </c>
      <c r="H782" s="9" t="s">
        <v>41</v>
      </c>
      <c r="I782" s="13"/>
      <c r="J782" s="13"/>
      <c r="K782" s="14"/>
      <c r="L782" s="13"/>
      <c r="M782" s="14"/>
      <c r="N782" s="15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9">
        <v>781.0</v>
      </c>
      <c r="B783" s="10">
        <v>44046.0</v>
      </c>
      <c r="C783" s="9" t="s">
        <v>47</v>
      </c>
      <c r="D783" s="11" t="s">
        <v>1448</v>
      </c>
      <c r="E783" s="17">
        <f>+971502665589</f>
        <v>971502665589</v>
      </c>
      <c r="F783" s="12" t="s">
        <v>1449</v>
      </c>
      <c r="G783" s="9" t="s">
        <v>20</v>
      </c>
      <c r="H783" s="9" t="s">
        <v>17</v>
      </c>
      <c r="I783" s="13"/>
      <c r="J783" s="13"/>
      <c r="K783" s="14"/>
      <c r="L783" s="13"/>
      <c r="M783" s="14"/>
      <c r="N783" s="15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9">
        <v>782.0</v>
      </c>
      <c r="B784" s="10">
        <v>44046.0</v>
      </c>
      <c r="C784" s="9" t="s">
        <v>309</v>
      </c>
      <c r="D784" s="11" t="s">
        <v>899</v>
      </c>
      <c r="E784" s="9">
        <v>9.7150787407E11</v>
      </c>
      <c r="F784" s="12" t="s">
        <v>1450</v>
      </c>
      <c r="G784" s="9" t="s">
        <v>80</v>
      </c>
      <c r="H784" s="9" t="s">
        <v>41</v>
      </c>
      <c r="I784" s="13"/>
      <c r="J784" s="13"/>
      <c r="K784" s="14"/>
      <c r="L784" s="13"/>
      <c r="M784" s="14"/>
      <c r="N784" s="15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9">
        <v>783.0</v>
      </c>
      <c r="B785" s="10">
        <v>44046.0</v>
      </c>
      <c r="C785" s="9" t="s">
        <v>309</v>
      </c>
      <c r="D785" s="16" t="s">
        <v>239</v>
      </c>
      <c r="E785" s="9">
        <v>9.710505999497E12</v>
      </c>
      <c r="F785" s="12" t="s">
        <v>240</v>
      </c>
      <c r="G785" s="9" t="s">
        <v>176</v>
      </c>
      <c r="H785" s="9" t="s">
        <v>41</v>
      </c>
      <c r="I785" s="13"/>
      <c r="J785" s="13"/>
      <c r="K785" s="14"/>
      <c r="L785" s="13"/>
      <c r="M785" s="22"/>
      <c r="N785" s="15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9">
        <v>784.0</v>
      </c>
      <c r="B786" s="10">
        <v>44046.0</v>
      </c>
      <c r="C786" s="9" t="s">
        <v>47</v>
      </c>
      <c r="D786" s="11" t="s">
        <v>1451</v>
      </c>
      <c r="E786" s="17">
        <f>+249965447137</f>
        <v>249965447137</v>
      </c>
      <c r="F786" s="12" t="s">
        <v>1452</v>
      </c>
      <c r="G786" s="9" t="s">
        <v>176</v>
      </c>
      <c r="H786" s="9" t="s">
        <v>41</v>
      </c>
      <c r="I786" s="13"/>
      <c r="J786" s="13"/>
      <c r="K786" s="14"/>
      <c r="L786" s="13"/>
      <c r="M786" s="14"/>
      <c r="N786" s="15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9">
        <v>785.0</v>
      </c>
      <c r="B787" s="10">
        <v>44046.0</v>
      </c>
      <c r="C787" s="9" t="s">
        <v>309</v>
      </c>
      <c r="D787" s="11" t="s">
        <v>1453</v>
      </c>
      <c r="E787" s="9">
        <v>9.710561041859E12</v>
      </c>
      <c r="F787" s="12" t="s">
        <v>1454</v>
      </c>
      <c r="G787" s="9" t="s">
        <v>134</v>
      </c>
      <c r="H787" s="9" t="s">
        <v>17</v>
      </c>
      <c r="I787" s="13"/>
      <c r="J787" s="13"/>
      <c r="K787" s="14"/>
      <c r="L787" s="13"/>
      <c r="M787" s="14"/>
      <c r="N787" s="15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9">
        <v>786.0</v>
      </c>
      <c r="B788" s="10">
        <v>44046.0</v>
      </c>
      <c r="C788" s="9" t="s">
        <v>309</v>
      </c>
      <c r="D788" s="11" t="s">
        <v>899</v>
      </c>
      <c r="E788" s="9">
        <v>9.71561118001E11</v>
      </c>
      <c r="F788" s="12" t="s">
        <v>1455</v>
      </c>
      <c r="G788" s="9" t="s">
        <v>176</v>
      </c>
      <c r="H788" s="9" t="s">
        <v>81</v>
      </c>
      <c r="I788" s="13"/>
      <c r="J788" s="13"/>
      <c r="K788" s="14"/>
      <c r="L788" s="13"/>
      <c r="M788" s="14"/>
      <c r="N788" s="15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9">
        <v>787.0</v>
      </c>
      <c r="B789" s="10">
        <v>44046.0</v>
      </c>
      <c r="C789" s="9" t="s">
        <v>309</v>
      </c>
      <c r="D789" s="16" t="s">
        <v>155</v>
      </c>
      <c r="E789" s="9">
        <v>9.710551500494E12</v>
      </c>
      <c r="F789" s="12" t="s">
        <v>156</v>
      </c>
      <c r="G789" s="9" t="s">
        <v>25</v>
      </c>
      <c r="H789" s="9" t="s">
        <v>13</v>
      </c>
      <c r="I789" s="13"/>
      <c r="J789" s="13"/>
      <c r="K789" s="14"/>
      <c r="L789" s="13"/>
      <c r="M789" s="22"/>
      <c r="N789" s="15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9">
        <v>788.0</v>
      </c>
      <c r="B790" s="10">
        <v>44046.0</v>
      </c>
      <c r="C790" s="9" t="s">
        <v>47</v>
      </c>
      <c r="D790" s="11" t="s">
        <v>1456</v>
      </c>
      <c r="E790" s="9" t="s">
        <v>410</v>
      </c>
      <c r="F790" s="9" t="s">
        <v>410</v>
      </c>
      <c r="G790" s="9" t="s">
        <v>28</v>
      </c>
      <c r="H790" s="9" t="s">
        <v>385</v>
      </c>
      <c r="I790" s="13"/>
      <c r="J790" s="13"/>
      <c r="K790" s="14"/>
      <c r="L790" s="13"/>
      <c r="M790" s="14"/>
      <c r="N790" s="15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9">
        <v>789.0</v>
      </c>
      <c r="B791" s="10">
        <v>44046.0</v>
      </c>
      <c r="C791" s="9" t="s">
        <v>309</v>
      </c>
      <c r="D791" s="16" t="s">
        <v>1457</v>
      </c>
      <c r="E791" s="9">
        <v>9.710504440603E12</v>
      </c>
      <c r="F791" s="12" t="s">
        <v>1458</v>
      </c>
      <c r="G791" s="9" t="s">
        <v>131</v>
      </c>
      <c r="H791" s="9" t="s">
        <v>13</v>
      </c>
      <c r="I791" s="13"/>
      <c r="J791" s="13"/>
      <c r="K791" s="14"/>
      <c r="L791" s="13"/>
      <c r="M791" s="22"/>
      <c r="N791" s="15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9">
        <v>790.0</v>
      </c>
      <c r="B792" s="10">
        <v>44046.0</v>
      </c>
      <c r="C792" s="9" t="s">
        <v>47</v>
      </c>
      <c r="D792" s="11" t="s">
        <v>217</v>
      </c>
      <c r="E792" s="9">
        <v>9.710504813172E12</v>
      </c>
      <c r="F792" s="12" t="s">
        <v>218</v>
      </c>
      <c r="G792" s="9" t="s">
        <v>28</v>
      </c>
      <c r="H792" s="9" t="s">
        <v>13</v>
      </c>
      <c r="I792" s="13"/>
      <c r="J792" s="13"/>
      <c r="K792" s="14"/>
      <c r="L792" s="13"/>
      <c r="M792" s="14"/>
      <c r="N792" s="15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9">
        <v>791.0</v>
      </c>
      <c r="B793" s="10">
        <v>44046.0</v>
      </c>
      <c r="C793" s="9" t="s">
        <v>47</v>
      </c>
      <c r="D793" s="11" t="s">
        <v>1459</v>
      </c>
      <c r="E793" s="17">
        <f>+971585726949</f>
        <v>971585726949</v>
      </c>
      <c r="F793" s="12" t="s">
        <v>1460</v>
      </c>
      <c r="G793" s="9" t="s">
        <v>12</v>
      </c>
      <c r="H793" s="9" t="s">
        <v>17</v>
      </c>
      <c r="I793" s="13"/>
      <c r="J793" s="13"/>
      <c r="K793" s="14"/>
      <c r="L793" s="13"/>
      <c r="M793" s="14"/>
      <c r="N793" s="15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9">
        <v>792.0</v>
      </c>
      <c r="B794" s="10">
        <v>44046.0</v>
      </c>
      <c r="C794" s="9" t="s">
        <v>1461</v>
      </c>
      <c r="D794" s="11" t="s">
        <v>1462</v>
      </c>
      <c r="E794" s="9">
        <v>9.710502605509E12</v>
      </c>
      <c r="F794" s="9" t="s">
        <v>410</v>
      </c>
      <c r="G794" s="9" t="s">
        <v>20</v>
      </c>
      <c r="H794" s="9" t="s">
        <v>17</v>
      </c>
      <c r="I794" s="13"/>
      <c r="J794" s="13"/>
      <c r="K794" s="14"/>
      <c r="L794" s="13"/>
      <c r="M794" s="14"/>
      <c r="N794" s="15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9">
        <v>793.0</v>
      </c>
      <c r="B795" s="10">
        <v>44046.0</v>
      </c>
      <c r="C795" s="9" t="s">
        <v>47</v>
      </c>
      <c r="D795" s="11" t="s">
        <v>215</v>
      </c>
      <c r="E795" s="9">
        <v>9.71506657875E11</v>
      </c>
      <c r="F795" s="12" t="s">
        <v>216</v>
      </c>
      <c r="G795" s="9" t="s">
        <v>80</v>
      </c>
      <c r="H795" s="9" t="s">
        <v>17</v>
      </c>
      <c r="I795" s="13"/>
      <c r="J795" s="13"/>
      <c r="K795" s="14"/>
      <c r="L795" s="13"/>
      <c r="M795" s="14"/>
      <c r="N795" s="15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9">
        <v>794.0</v>
      </c>
      <c r="B796" s="10">
        <v>44046.0</v>
      </c>
      <c r="C796" s="9" t="s">
        <v>309</v>
      </c>
      <c r="D796" s="16" t="s">
        <v>1463</v>
      </c>
      <c r="E796" s="9">
        <v>9.710504843222E12</v>
      </c>
      <c r="F796" s="12" t="s">
        <v>1464</v>
      </c>
      <c r="G796" s="9" t="s">
        <v>131</v>
      </c>
      <c r="H796" s="9" t="s">
        <v>17</v>
      </c>
      <c r="I796" s="13"/>
      <c r="J796" s="13"/>
      <c r="K796" s="14"/>
      <c r="L796" s="13"/>
      <c r="M796" s="22"/>
      <c r="N796" s="15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9">
        <v>795.0</v>
      </c>
      <c r="B797" s="10">
        <v>44046.0</v>
      </c>
      <c r="C797" s="9" t="s">
        <v>47</v>
      </c>
      <c r="D797" s="11" t="s">
        <v>1465</v>
      </c>
      <c r="E797" s="9">
        <v>9.71506448073E11</v>
      </c>
      <c r="F797" s="12" t="s">
        <v>1466</v>
      </c>
      <c r="G797" s="9" t="s">
        <v>176</v>
      </c>
      <c r="H797" s="9" t="s">
        <v>41</v>
      </c>
      <c r="I797" s="13"/>
      <c r="J797" s="13"/>
      <c r="K797" s="14"/>
      <c r="L797" s="13"/>
      <c r="M797" s="14"/>
      <c r="N797" s="15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9">
        <v>796.0</v>
      </c>
      <c r="B798" s="10">
        <v>44046.0</v>
      </c>
      <c r="C798" s="9" t="s">
        <v>47</v>
      </c>
      <c r="D798" s="11" t="s">
        <v>1467</v>
      </c>
      <c r="E798" s="17">
        <f>+971569565388</f>
        <v>971569565388</v>
      </c>
      <c r="F798" s="12" t="s">
        <v>1468</v>
      </c>
      <c r="G798" s="9" t="s">
        <v>28</v>
      </c>
      <c r="H798" s="9" t="s">
        <v>13</v>
      </c>
      <c r="I798" s="13"/>
      <c r="J798" s="13"/>
      <c r="K798" s="14"/>
      <c r="L798" s="13"/>
      <c r="M798" s="14"/>
      <c r="N798" s="15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9">
        <v>797.0</v>
      </c>
      <c r="B799" s="18">
        <v>44046.0</v>
      </c>
      <c r="C799" s="19" t="s">
        <v>309</v>
      </c>
      <c r="D799" s="11" t="s">
        <v>1469</v>
      </c>
      <c r="E799" s="19">
        <v>9.71050666E12</v>
      </c>
      <c r="F799" s="12" t="s">
        <v>1470</v>
      </c>
      <c r="G799" s="19" t="s">
        <v>176</v>
      </c>
      <c r="H799" s="19" t="s">
        <v>41</v>
      </c>
      <c r="I799" s="13"/>
      <c r="J799" s="13"/>
      <c r="K799" s="20"/>
      <c r="L799" s="13"/>
      <c r="M799" s="20"/>
      <c r="N799" s="21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9">
        <v>798.0</v>
      </c>
      <c r="B800" s="10">
        <v>44046.0</v>
      </c>
      <c r="C800" s="9" t="s">
        <v>309</v>
      </c>
      <c r="D800" s="16" t="s">
        <v>1231</v>
      </c>
      <c r="E800" s="9">
        <v>9.710528827889E12</v>
      </c>
      <c r="F800" s="12" t="s">
        <v>1471</v>
      </c>
      <c r="G800" s="9" t="s">
        <v>176</v>
      </c>
      <c r="H800" s="9" t="s">
        <v>21</v>
      </c>
      <c r="I800" s="13"/>
      <c r="J800" s="13"/>
      <c r="K800" s="14"/>
      <c r="L800" s="13"/>
      <c r="M800" s="22"/>
      <c r="N800" s="15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9">
        <v>799.0</v>
      </c>
      <c r="B801" s="10">
        <v>44045.0</v>
      </c>
      <c r="C801" s="9" t="s">
        <v>309</v>
      </c>
      <c r="D801" s="16" t="s">
        <v>256</v>
      </c>
      <c r="E801" s="9">
        <v>9.7105053355E12</v>
      </c>
      <c r="F801" s="12" t="s">
        <v>257</v>
      </c>
      <c r="G801" s="9" t="s">
        <v>80</v>
      </c>
      <c r="H801" s="9" t="s">
        <v>41</v>
      </c>
      <c r="I801" s="13"/>
      <c r="J801" s="13"/>
      <c r="K801" s="14"/>
      <c r="L801" s="13"/>
      <c r="M801" s="22"/>
      <c r="N801" s="15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9">
        <v>800.0</v>
      </c>
      <c r="B802" s="10">
        <v>44045.0</v>
      </c>
      <c r="C802" s="9" t="s">
        <v>309</v>
      </c>
      <c r="D802" s="16" t="s">
        <v>254</v>
      </c>
      <c r="E802" s="9">
        <v>9.71554701861E11</v>
      </c>
      <c r="F802" s="12" t="s">
        <v>255</v>
      </c>
      <c r="G802" s="9" t="s">
        <v>80</v>
      </c>
      <c r="H802" s="9" t="s">
        <v>17</v>
      </c>
      <c r="I802" s="13"/>
      <c r="J802" s="13"/>
      <c r="K802" s="14"/>
      <c r="L802" s="13"/>
      <c r="M802" s="22"/>
      <c r="N802" s="15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9">
        <v>801.0</v>
      </c>
      <c r="B803" s="10">
        <v>44045.0</v>
      </c>
      <c r="C803" s="9" t="s">
        <v>309</v>
      </c>
      <c r="D803" s="11" t="s">
        <v>247</v>
      </c>
      <c r="E803" s="9">
        <v>9.710501473367E12</v>
      </c>
      <c r="F803" s="12" t="s">
        <v>248</v>
      </c>
      <c r="G803" s="9" t="s">
        <v>20</v>
      </c>
      <c r="H803" s="9" t="s">
        <v>17</v>
      </c>
      <c r="I803" s="13"/>
      <c r="J803" s="13"/>
      <c r="K803" s="14"/>
      <c r="L803" s="13"/>
      <c r="M803" s="14"/>
      <c r="N803" s="15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9">
        <v>802.0</v>
      </c>
      <c r="B804" s="10">
        <v>44045.0</v>
      </c>
      <c r="C804" s="9" t="s">
        <v>309</v>
      </c>
      <c r="D804" s="11" t="s">
        <v>84</v>
      </c>
      <c r="E804" s="9">
        <v>9.7150658659E11</v>
      </c>
      <c r="F804" s="12" t="s">
        <v>1472</v>
      </c>
      <c r="G804" s="9" t="s">
        <v>57</v>
      </c>
      <c r="H804" s="9" t="s">
        <v>17</v>
      </c>
      <c r="I804" s="13"/>
      <c r="J804" s="13"/>
      <c r="K804" s="14"/>
      <c r="L804" s="13"/>
      <c r="M804" s="14"/>
      <c r="N804" s="15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9">
        <v>803.0</v>
      </c>
      <c r="B805" s="10">
        <v>44045.0</v>
      </c>
      <c r="C805" s="9" t="s">
        <v>309</v>
      </c>
      <c r="D805" s="16" t="s">
        <v>319</v>
      </c>
      <c r="E805" s="9">
        <v>9.71553313969E11</v>
      </c>
      <c r="F805" s="12" t="s">
        <v>320</v>
      </c>
      <c r="G805" s="9" t="s">
        <v>131</v>
      </c>
      <c r="H805" s="9" t="s">
        <v>13</v>
      </c>
      <c r="I805" s="13"/>
      <c r="J805" s="13"/>
      <c r="K805" s="14"/>
      <c r="L805" s="13"/>
      <c r="M805" s="22"/>
      <c r="N805" s="15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9">
        <v>804.0</v>
      </c>
      <c r="B806" s="10">
        <v>44045.0</v>
      </c>
      <c r="C806" s="9" t="s">
        <v>309</v>
      </c>
      <c r="D806" s="16" t="s">
        <v>1473</v>
      </c>
      <c r="E806" s="9">
        <v>9.710526250033E12</v>
      </c>
      <c r="F806" s="12" t="s">
        <v>1474</v>
      </c>
      <c r="G806" s="9" t="s">
        <v>25</v>
      </c>
      <c r="H806" s="9" t="s">
        <v>13</v>
      </c>
      <c r="I806" s="13"/>
      <c r="J806" s="13"/>
      <c r="K806" s="14"/>
      <c r="L806" s="13"/>
      <c r="M806" s="22"/>
      <c r="N806" s="15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9">
        <v>805.0</v>
      </c>
      <c r="B807" s="10">
        <v>44045.0</v>
      </c>
      <c r="C807" s="9" t="s">
        <v>309</v>
      </c>
      <c r="D807" s="16" t="s">
        <v>360</v>
      </c>
      <c r="E807" s="9">
        <v>9.710504089076E12</v>
      </c>
      <c r="F807" s="12" t="s">
        <v>361</v>
      </c>
      <c r="G807" s="9" t="s">
        <v>131</v>
      </c>
      <c r="H807" s="9" t="s">
        <v>17</v>
      </c>
      <c r="I807" s="13"/>
      <c r="J807" s="13"/>
      <c r="K807" s="14"/>
      <c r="L807" s="13"/>
      <c r="M807" s="22"/>
      <c r="N807" s="15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9">
        <v>806.0</v>
      </c>
      <c r="B808" s="10">
        <v>44045.0</v>
      </c>
      <c r="C808" s="9" t="s">
        <v>47</v>
      </c>
      <c r="D808" s="11" t="s">
        <v>1475</v>
      </c>
      <c r="E808" s="17">
        <f>+971505963129</f>
        <v>971505963129</v>
      </c>
      <c r="F808" s="12" t="s">
        <v>1476</v>
      </c>
      <c r="G808" s="9" t="s">
        <v>20</v>
      </c>
      <c r="H808" s="9" t="s">
        <v>17</v>
      </c>
      <c r="I808" s="13"/>
      <c r="J808" s="13"/>
      <c r="K808" s="14"/>
      <c r="L808" s="13"/>
      <c r="M808" s="14"/>
      <c r="N808" s="15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9">
        <v>807.0</v>
      </c>
      <c r="B809" s="10">
        <v>44045.0</v>
      </c>
      <c r="C809" s="9" t="s">
        <v>309</v>
      </c>
      <c r="D809" s="11" t="s">
        <v>1477</v>
      </c>
      <c r="E809" s="9">
        <v>9.710506284698E12</v>
      </c>
      <c r="F809" s="12" t="s">
        <v>1478</v>
      </c>
      <c r="G809" s="9" t="s">
        <v>80</v>
      </c>
      <c r="H809" s="9" t="s">
        <v>81</v>
      </c>
      <c r="I809" s="13"/>
      <c r="J809" s="13"/>
      <c r="K809" s="14"/>
      <c r="L809" s="13"/>
      <c r="M809" s="14"/>
      <c r="N809" s="15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9">
        <v>808.0</v>
      </c>
      <c r="B810" s="10">
        <v>44045.0</v>
      </c>
      <c r="C810" s="9" t="s">
        <v>309</v>
      </c>
      <c r="D810" s="11" t="s">
        <v>1479</v>
      </c>
      <c r="E810" s="9">
        <v>9.710544450765E12</v>
      </c>
      <c r="F810" s="12" t="s">
        <v>1480</v>
      </c>
      <c r="G810" s="9" t="s">
        <v>181</v>
      </c>
      <c r="H810" s="9" t="s">
        <v>17</v>
      </c>
      <c r="I810" s="13"/>
      <c r="J810" s="13"/>
      <c r="K810" s="14"/>
      <c r="L810" s="13"/>
      <c r="M810" s="14"/>
      <c r="N810" s="15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9">
        <v>809.0</v>
      </c>
      <c r="B811" s="10">
        <v>44045.0</v>
      </c>
      <c r="C811" s="9" t="s">
        <v>47</v>
      </c>
      <c r="D811" s="11" t="s">
        <v>177</v>
      </c>
      <c r="E811" s="17">
        <f>+9710555620238</f>
        <v>9710555620238</v>
      </c>
      <c r="F811" s="12" t="s">
        <v>178</v>
      </c>
      <c r="G811" s="9" t="s">
        <v>134</v>
      </c>
      <c r="H811" s="9" t="s">
        <v>17</v>
      </c>
      <c r="I811" s="13"/>
      <c r="J811" s="13"/>
      <c r="K811" s="14"/>
      <c r="L811" s="13"/>
      <c r="M811" s="14"/>
      <c r="N811" s="15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9">
        <v>810.0</v>
      </c>
      <c r="B812" s="10">
        <v>44045.0</v>
      </c>
      <c r="C812" s="9" t="s">
        <v>309</v>
      </c>
      <c r="D812" s="16" t="s">
        <v>305</v>
      </c>
      <c r="E812" s="9">
        <v>9.710563112911E12</v>
      </c>
      <c r="F812" s="12" t="s">
        <v>306</v>
      </c>
      <c r="G812" s="9" t="s">
        <v>28</v>
      </c>
      <c r="H812" s="9" t="s">
        <v>13</v>
      </c>
      <c r="I812" s="13"/>
      <c r="J812" s="13"/>
      <c r="K812" s="14"/>
      <c r="L812" s="13"/>
      <c r="M812" s="22"/>
      <c r="N812" s="15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9">
        <v>811.0</v>
      </c>
      <c r="B813" s="10">
        <v>44045.0</v>
      </c>
      <c r="C813" s="9" t="s">
        <v>309</v>
      </c>
      <c r="D813" s="11" t="s">
        <v>261</v>
      </c>
      <c r="E813" s="9">
        <v>9.71501002933E11</v>
      </c>
      <c r="F813" s="12" t="s">
        <v>262</v>
      </c>
      <c r="G813" s="9" t="s">
        <v>28</v>
      </c>
      <c r="H813" s="9" t="s">
        <v>13</v>
      </c>
      <c r="I813" s="13"/>
      <c r="J813" s="13"/>
      <c r="K813" s="14"/>
      <c r="L813" s="13"/>
      <c r="M813" s="14"/>
      <c r="N813" s="15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9">
        <v>812.0</v>
      </c>
      <c r="B814" s="10">
        <v>44045.0</v>
      </c>
      <c r="C814" s="9" t="s">
        <v>47</v>
      </c>
      <c r="D814" s="11" t="s">
        <v>1481</v>
      </c>
      <c r="E814" s="17">
        <f>+9710554920642</f>
        <v>9710554920642</v>
      </c>
      <c r="F814" s="12" t="s">
        <v>1482</v>
      </c>
      <c r="G814" s="9" t="s">
        <v>60</v>
      </c>
      <c r="H814" s="9" t="s">
        <v>81</v>
      </c>
      <c r="I814" s="13"/>
      <c r="J814" s="13"/>
      <c r="K814" s="14"/>
      <c r="L814" s="13"/>
      <c r="M814" s="14"/>
      <c r="N814" s="15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9">
        <v>813.0</v>
      </c>
      <c r="B815" s="10">
        <v>44045.0</v>
      </c>
      <c r="C815" s="9" t="s">
        <v>309</v>
      </c>
      <c r="D815" s="11" t="s">
        <v>1483</v>
      </c>
      <c r="E815" s="9">
        <v>9.710524083816E12</v>
      </c>
      <c r="F815" s="12" t="s">
        <v>1484</v>
      </c>
      <c r="G815" s="9" t="s">
        <v>432</v>
      </c>
      <c r="H815" s="9" t="s">
        <v>21</v>
      </c>
      <c r="I815" s="13"/>
      <c r="J815" s="13"/>
      <c r="K815" s="14"/>
      <c r="L815" s="13"/>
      <c r="M815" s="14"/>
      <c r="N815" s="15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9">
        <v>814.0</v>
      </c>
      <c r="B816" s="10">
        <v>44045.0</v>
      </c>
      <c r="C816" s="9" t="s">
        <v>309</v>
      </c>
      <c r="D816" s="16" t="s">
        <v>334</v>
      </c>
      <c r="E816" s="9">
        <v>9.710507667883E12</v>
      </c>
      <c r="F816" s="12" t="s">
        <v>336</v>
      </c>
      <c r="G816" s="9" t="s">
        <v>134</v>
      </c>
      <c r="H816" s="9" t="s">
        <v>41</v>
      </c>
      <c r="I816" s="13"/>
      <c r="J816" s="13"/>
      <c r="K816" s="14"/>
      <c r="L816" s="13"/>
      <c r="M816" s="22"/>
      <c r="N816" s="15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9">
        <v>815.0</v>
      </c>
      <c r="B817" s="10">
        <v>44045.0</v>
      </c>
      <c r="C817" s="9" t="s">
        <v>309</v>
      </c>
      <c r="D817" s="16" t="s">
        <v>327</v>
      </c>
      <c r="E817" s="9">
        <v>9.710508598502E12</v>
      </c>
      <c r="F817" s="12" t="s">
        <v>329</v>
      </c>
      <c r="G817" s="9" t="s">
        <v>134</v>
      </c>
      <c r="H817" s="9" t="s">
        <v>41</v>
      </c>
      <c r="I817" s="13"/>
      <c r="J817" s="13"/>
      <c r="K817" s="14"/>
      <c r="L817" s="13"/>
      <c r="M817" s="22"/>
      <c r="N817" s="15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9">
        <v>816.0</v>
      </c>
      <c r="B818" s="10">
        <v>44045.0</v>
      </c>
      <c r="C818" s="9" t="s">
        <v>47</v>
      </c>
      <c r="D818" s="11" t="s">
        <v>1485</v>
      </c>
      <c r="E818" s="17">
        <f>+971501532067</f>
        <v>971501532067</v>
      </c>
      <c r="F818" s="12" t="s">
        <v>1486</v>
      </c>
      <c r="G818" s="9" t="s">
        <v>80</v>
      </c>
      <c r="H818" s="9" t="s">
        <v>81</v>
      </c>
      <c r="I818" s="13"/>
      <c r="J818" s="13"/>
      <c r="K818" s="14"/>
      <c r="L818" s="13"/>
      <c r="M818" s="14"/>
      <c r="N818" s="15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9">
        <v>817.0</v>
      </c>
      <c r="B819" s="10">
        <v>44045.0</v>
      </c>
      <c r="C819" s="9" t="s">
        <v>309</v>
      </c>
      <c r="D819" s="11" t="s">
        <v>1487</v>
      </c>
      <c r="E819" s="9">
        <v>9.71585876059E11</v>
      </c>
      <c r="F819" s="12" t="s">
        <v>1488</v>
      </c>
      <c r="G819" s="9" t="s">
        <v>300</v>
      </c>
      <c r="H819" s="9" t="s">
        <v>17</v>
      </c>
      <c r="I819" s="13"/>
      <c r="J819" s="13"/>
      <c r="K819" s="14"/>
      <c r="L819" s="13"/>
      <c r="M819" s="14"/>
      <c r="N819" s="15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9">
        <v>818.0</v>
      </c>
      <c r="B820" s="10">
        <v>44044.0</v>
      </c>
      <c r="C820" s="9" t="s">
        <v>309</v>
      </c>
      <c r="D820" s="11" t="s">
        <v>1489</v>
      </c>
      <c r="E820" s="9">
        <v>9.710503659098E12</v>
      </c>
      <c r="F820" s="12" t="s">
        <v>1490</v>
      </c>
      <c r="G820" s="9" t="s">
        <v>181</v>
      </c>
      <c r="H820" s="9" t="s">
        <v>17</v>
      </c>
      <c r="I820" s="13"/>
      <c r="J820" s="13"/>
      <c r="K820" s="14"/>
      <c r="L820" s="13"/>
      <c r="M820" s="14"/>
      <c r="N820" s="15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9">
        <v>819.0</v>
      </c>
      <c r="B821" s="10">
        <v>44044.0</v>
      </c>
      <c r="C821" s="9" t="s">
        <v>309</v>
      </c>
      <c r="D821" s="11" t="s">
        <v>1491</v>
      </c>
      <c r="E821" s="9">
        <v>9.71585754486E11</v>
      </c>
      <c r="F821" s="12" t="s">
        <v>1492</v>
      </c>
      <c r="G821" s="9" t="s">
        <v>176</v>
      </c>
      <c r="H821" s="9" t="s">
        <v>41</v>
      </c>
      <c r="I821" s="13"/>
      <c r="J821" s="13"/>
      <c r="K821" s="14"/>
      <c r="L821" s="13"/>
      <c r="M821" s="14"/>
      <c r="N821" s="15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9">
        <v>820.0</v>
      </c>
      <c r="B822" s="10">
        <v>44044.0</v>
      </c>
      <c r="C822" s="9" t="s">
        <v>47</v>
      </c>
      <c r="D822" s="11" t="s">
        <v>1493</v>
      </c>
      <c r="E822" s="17">
        <f>+9710505957975</f>
        <v>9710505957975</v>
      </c>
      <c r="F822" s="12" t="s">
        <v>1494</v>
      </c>
      <c r="G822" s="9" t="s">
        <v>80</v>
      </c>
      <c r="H822" s="9" t="s">
        <v>41</v>
      </c>
      <c r="I822" s="13"/>
      <c r="J822" s="13"/>
      <c r="K822" s="14"/>
      <c r="L822" s="13"/>
      <c r="M822" s="14"/>
      <c r="N822" s="15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9">
        <v>821.0</v>
      </c>
      <c r="B823" s="10">
        <v>44044.0</v>
      </c>
      <c r="C823" s="9" t="s">
        <v>309</v>
      </c>
      <c r="D823" s="11" t="s">
        <v>1495</v>
      </c>
      <c r="E823" s="9">
        <v>9.71556057804E11</v>
      </c>
      <c r="F823" s="12" t="s">
        <v>1496</v>
      </c>
      <c r="G823" s="9" t="s">
        <v>176</v>
      </c>
      <c r="H823" s="9" t="s">
        <v>81</v>
      </c>
      <c r="I823" s="13"/>
      <c r="J823" s="13"/>
      <c r="K823" s="14"/>
      <c r="L823" s="13"/>
      <c r="M823" s="14"/>
      <c r="N823" s="15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9">
        <v>822.0</v>
      </c>
      <c r="B824" s="10">
        <v>44044.0</v>
      </c>
      <c r="C824" s="9" t="s">
        <v>47</v>
      </c>
      <c r="D824" s="11" t="s">
        <v>1497</v>
      </c>
      <c r="E824" s="17">
        <f>+97105004573978</f>
        <v>97105004573978</v>
      </c>
      <c r="F824" s="12" t="s">
        <v>1498</v>
      </c>
      <c r="G824" s="9" t="s">
        <v>35</v>
      </c>
      <c r="H824" s="9" t="s">
        <v>206</v>
      </c>
      <c r="I824" s="13"/>
      <c r="J824" s="13"/>
      <c r="K824" s="14"/>
      <c r="L824" s="13"/>
      <c r="M824" s="14"/>
      <c r="N824" s="15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9">
        <v>823.0</v>
      </c>
      <c r="B825" s="10">
        <v>44044.0</v>
      </c>
      <c r="C825" s="9" t="s">
        <v>309</v>
      </c>
      <c r="D825" s="11" t="s">
        <v>1499</v>
      </c>
      <c r="E825" s="9">
        <v>9.710553005118E12</v>
      </c>
      <c r="F825" s="12" t="s">
        <v>1500</v>
      </c>
      <c r="G825" s="9" t="s">
        <v>80</v>
      </c>
      <c r="H825" s="9" t="s">
        <v>81</v>
      </c>
      <c r="I825" s="13"/>
      <c r="J825" s="13"/>
      <c r="K825" s="14"/>
      <c r="L825" s="13"/>
      <c r="M825" s="14"/>
      <c r="N825" s="15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9">
        <v>824.0</v>
      </c>
      <c r="B826" s="10">
        <v>44044.0</v>
      </c>
      <c r="C826" s="9" t="s">
        <v>309</v>
      </c>
      <c r="D826" s="16" t="s">
        <v>1501</v>
      </c>
      <c r="E826" s="9">
        <v>9.71052543386E12</v>
      </c>
      <c r="F826" s="12" t="s">
        <v>1502</v>
      </c>
      <c r="G826" s="9" t="s">
        <v>80</v>
      </c>
      <c r="H826" s="9" t="s">
        <v>41</v>
      </c>
      <c r="I826" s="13"/>
      <c r="J826" s="13"/>
      <c r="K826" s="14"/>
      <c r="L826" s="13"/>
      <c r="M826" s="22"/>
      <c r="N826" s="15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9">
        <v>825.0</v>
      </c>
      <c r="B827" s="10">
        <v>44044.0</v>
      </c>
      <c r="C827" s="9" t="s">
        <v>309</v>
      </c>
      <c r="D827" s="11" t="s">
        <v>1503</v>
      </c>
      <c r="E827" s="9">
        <v>9.71551903234E11</v>
      </c>
      <c r="F827" s="12" t="s">
        <v>1504</v>
      </c>
      <c r="G827" s="9" t="s">
        <v>57</v>
      </c>
      <c r="H827" s="9" t="s">
        <v>260</v>
      </c>
      <c r="I827" s="13"/>
      <c r="J827" s="13"/>
      <c r="K827" s="14"/>
      <c r="L827" s="13"/>
      <c r="M827" s="14"/>
      <c r="N827" s="15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9">
        <v>826.0</v>
      </c>
      <c r="B828" s="10">
        <v>44044.0</v>
      </c>
      <c r="C828" s="9" t="s">
        <v>309</v>
      </c>
      <c r="D828" s="11" t="s">
        <v>1505</v>
      </c>
      <c r="E828" s="9">
        <v>9.71503301066E11</v>
      </c>
      <c r="F828" s="12" t="s">
        <v>1506</v>
      </c>
      <c r="G828" s="9" t="s">
        <v>300</v>
      </c>
      <c r="H828" s="9" t="s">
        <v>17</v>
      </c>
      <c r="I828" s="13"/>
      <c r="J828" s="13"/>
      <c r="K828" s="14"/>
      <c r="L828" s="13"/>
      <c r="M828" s="14"/>
      <c r="N828" s="15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9">
        <v>827.0</v>
      </c>
      <c r="B829" s="10">
        <v>44044.0</v>
      </c>
      <c r="C829" s="9" t="s">
        <v>47</v>
      </c>
      <c r="D829" s="11" t="s">
        <v>191</v>
      </c>
      <c r="E829" s="17">
        <f>+256702973885</f>
        <v>256702973885</v>
      </c>
      <c r="F829" s="12" t="s">
        <v>192</v>
      </c>
      <c r="G829" s="9" t="s">
        <v>60</v>
      </c>
      <c r="H829" s="9" t="s">
        <v>41</v>
      </c>
      <c r="I829" s="13"/>
      <c r="J829" s="13"/>
      <c r="K829" s="14"/>
      <c r="L829" s="13"/>
      <c r="M829" s="14"/>
      <c r="N829" s="15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9">
        <v>828.0</v>
      </c>
      <c r="B830" s="10">
        <v>44044.0</v>
      </c>
      <c r="C830" s="9" t="s">
        <v>47</v>
      </c>
      <c r="D830" s="11" t="s">
        <v>233</v>
      </c>
      <c r="E830" s="17">
        <f>+9710551838463</f>
        <v>9710551838463</v>
      </c>
      <c r="F830" s="12" t="s">
        <v>234</v>
      </c>
      <c r="G830" s="9" t="s">
        <v>12</v>
      </c>
      <c r="H830" s="9" t="s">
        <v>13</v>
      </c>
      <c r="I830" s="13"/>
      <c r="J830" s="13"/>
      <c r="K830" s="14"/>
      <c r="L830" s="13"/>
      <c r="M830" s="14"/>
      <c r="N830" s="15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9">
        <v>829.0</v>
      </c>
      <c r="B831" s="10">
        <v>44044.0</v>
      </c>
      <c r="C831" s="9" t="s">
        <v>47</v>
      </c>
      <c r="D831" s="11" t="s">
        <v>338</v>
      </c>
      <c r="E831" s="17">
        <f>+971557066330</f>
        <v>971557066330</v>
      </c>
      <c r="F831" s="12" t="s">
        <v>340</v>
      </c>
      <c r="G831" s="9" t="s">
        <v>300</v>
      </c>
      <c r="H831" s="9" t="s">
        <v>41</v>
      </c>
      <c r="I831" s="13"/>
      <c r="J831" s="13"/>
      <c r="K831" s="14"/>
      <c r="L831" s="13"/>
      <c r="M831" s="14"/>
      <c r="N831" s="15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9">
        <v>830.0</v>
      </c>
      <c r="B832" s="10">
        <v>44044.0</v>
      </c>
      <c r="C832" s="9" t="s">
        <v>309</v>
      </c>
      <c r="D832" s="11" t="s">
        <v>1507</v>
      </c>
      <c r="E832" s="9">
        <v>9.710503670816E12</v>
      </c>
      <c r="F832" s="12" t="s">
        <v>1508</v>
      </c>
      <c r="G832" s="9" t="s">
        <v>300</v>
      </c>
      <c r="H832" s="9" t="s">
        <v>17</v>
      </c>
      <c r="I832" s="13"/>
      <c r="J832" s="13"/>
      <c r="K832" s="14"/>
      <c r="L832" s="13"/>
      <c r="M832" s="14"/>
      <c r="N832" s="15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9">
        <v>831.0</v>
      </c>
      <c r="B833" s="10">
        <v>44044.0</v>
      </c>
      <c r="C833" s="9" t="s">
        <v>309</v>
      </c>
      <c r="D833" s="11" t="s">
        <v>599</v>
      </c>
      <c r="E833" s="9">
        <v>9.710581786266E12</v>
      </c>
      <c r="F833" s="12" t="s">
        <v>1509</v>
      </c>
      <c r="G833" s="9" t="s">
        <v>12</v>
      </c>
      <c r="H833" s="9" t="s">
        <v>260</v>
      </c>
      <c r="I833" s="13"/>
      <c r="J833" s="13"/>
      <c r="K833" s="14"/>
      <c r="L833" s="13"/>
      <c r="M833" s="14"/>
      <c r="N833" s="15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9">
        <v>832.0</v>
      </c>
      <c r="B834" s="10">
        <v>44044.0</v>
      </c>
      <c r="C834" s="9" t="s">
        <v>1510</v>
      </c>
      <c r="D834" s="11" t="s">
        <v>1511</v>
      </c>
      <c r="E834" s="17">
        <f>+9710505176951</f>
        <v>9710505176951</v>
      </c>
      <c r="F834" s="12" t="s">
        <v>1512</v>
      </c>
      <c r="G834" s="9" t="s">
        <v>627</v>
      </c>
      <c r="H834" s="9" t="s">
        <v>654</v>
      </c>
      <c r="I834" s="13"/>
      <c r="J834" s="13"/>
      <c r="K834" s="27"/>
      <c r="L834" s="13"/>
      <c r="M834" s="14"/>
      <c r="N834" s="15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9">
        <v>833.0</v>
      </c>
      <c r="B835" s="10">
        <v>44044.0</v>
      </c>
      <c r="C835" s="9" t="s">
        <v>309</v>
      </c>
      <c r="D835" s="16" t="s">
        <v>1513</v>
      </c>
      <c r="E835" s="9">
        <v>9.710508988009E12</v>
      </c>
      <c r="F835" s="12" t="s">
        <v>1514</v>
      </c>
      <c r="G835" s="9" t="s">
        <v>176</v>
      </c>
      <c r="H835" s="9" t="s">
        <v>41</v>
      </c>
      <c r="I835" s="13"/>
      <c r="J835" s="13"/>
      <c r="K835" s="14"/>
      <c r="L835" s="13"/>
      <c r="M835" s="22"/>
      <c r="N835" s="15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9">
        <v>834.0</v>
      </c>
      <c r="B836" s="10">
        <v>44044.0</v>
      </c>
      <c r="C836" s="9" t="s">
        <v>47</v>
      </c>
      <c r="D836" s="11" t="s">
        <v>1515</v>
      </c>
      <c r="E836" s="17">
        <f>+971509857137</f>
        <v>971509857137</v>
      </c>
      <c r="F836" s="12" t="s">
        <v>1516</v>
      </c>
      <c r="G836" s="9" t="s">
        <v>60</v>
      </c>
      <c r="H836" s="9" t="s">
        <v>41</v>
      </c>
      <c r="I836" s="13"/>
      <c r="J836" s="13"/>
      <c r="K836" s="14"/>
      <c r="L836" s="13"/>
      <c r="M836" s="14"/>
      <c r="N836" s="15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9">
        <v>835.0</v>
      </c>
      <c r="B837" s="10">
        <v>44044.0</v>
      </c>
      <c r="C837" s="9" t="s">
        <v>309</v>
      </c>
      <c r="D837" s="16" t="s">
        <v>1517</v>
      </c>
      <c r="E837" s="9">
        <v>9.710551052494E12</v>
      </c>
      <c r="F837" s="12" t="s">
        <v>1518</v>
      </c>
      <c r="G837" s="9" t="s">
        <v>176</v>
      </c>
      <c r="H837" s="9" t="s">
        <v>41</v>
      </c>
      <c r="I837" s="13"/>
      <c r="J837" s="13"/>
      <c r="K837" s="14"/>
      <c r="L837" s="13"/>
      <c r="M837" s="22"/>
      <c r="N837" s="15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9">
        <v>836.0</v>
      </c>
      <c r="B838" s="10">
        <v>44044.0</v>
      </c>
      <c r="C838" s="9" t="s">
        <v>47</v>
      </c>
      <c r="D838" s="11" t="s">
        <v>1519</v>
      </c>
      <c r="E838" s="17">
        <f>+971545906989</f>
        <v>971545906989</v>
      </c>
      <c r="F838" s="12" t="s">
        <v>1520</v>
      </c>
      <c r="G838" s="9" t="s">
        <v>35</v>
      </c>
      <c r="H838" s="9" t="s">
        <v>206</v>
      </c>
      <c r="I838" s="13"/>
      <c r="J838" s="13"/>
      <c r="K838" s="14"/>
      <c r="L838" s="13"/>
      <c r="M838" s="14"/>
      <c r="N838" s="15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9">
        <v>837.0</v>
      </c>
      <c r="B839" s="10">
        <v>44044.0</v>
      </c>
      <c r="C839" s="9" t="s">
        <v>309</v>
      </c>
      <c r="D839" s="11" t="s">
        <v>1521</v>
      </c>
      <c r="E839" s="9">
        <v>9.710507252725E12</v>
      </c>
      <c r="F839" s="12" t="s">
        <v>1522</v>
      </c>
      <c r="G839" s="9" t="s">
        <v>176</v>
      </c>
      <c r="H839" s="9" t="s">
        <v>21</v>
      </c>
      <c r="I839" s="13"/>
      <c r="J839" s="13"/>
      <c r="K839" s="14"/>
      <c r="L839" s="13"/>
      <c r="M839" s="14"/>
      <c r="N839" s="15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9">
        <v>838.0</v>
      </c>
      <c r="B840" s="10">
        <v>44044.0</v>
      </c>
      <c r="C840" s="9" t="s">
        <v>47</v>
      </c>
      <c r="D840" s="11" t="s">
        <v>1523</v>
      </c>
      <c r="E840" s="17">
        <f>+971507888367</f>
        <v>971507888367</v>
      </c>
      <c r="F840" s="12" t="s">
        <v>1524</v>
      </c>
      <c r="G840" s="9" t="s">
        <v>176</v>
      </c>
      <c r="H840" s="9" t="s">
        <v>41</v>
      </c>
      <c r="I840" s="13"/>
      <c r="J840" s="13"/>
      <c r="K840" s="14"/>
      <c r="L840" s="13"/>
      <c r="M840" s="14"/>
      <c r="N840" s="15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9">
        <v>839.0</v>
      </c>
      <c r="B841" s="10">
        <v>44044.0</v>
      </c>
      <c r="C841" s="9" t="s">
        <v>309</v>
      </c>
      <c r="D841" s="11" t="s">
        <v>1525</v>
      </c>
      <c r="E841" s="9">
        <v>9.71557074408E11</v>
      </c>
      <c r="F841" s="12" t="s">
        <v>1526</v>
      </c>
      <c r="G841" s="9" t="s">
        <v>12</v>
      </c>
      <c r="H841" s="9" t="s">
        <v>13</v>
      </c>
      <c r="I841" s="13"/>
      <c r="J841" s="13"/>
      <c r="K841" s="14"/>
      <c r="L841" s="13"/>
      <c r="M841" s="14"/>
      <c r="N841" s="15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9">
        <v>840.0</v>
      </c>
      <c r="B842" s="10">
        <v>44044.0</v>
      </c>
      <c r="C842" s="9" t="s">
        <v>309</v>
      </c>
      <c r="D842" s="11" t="s">
        <v>1527</v>
      </c>
      <c r="E842" s="9">
        <v>9.710509503552E12</v>
      </c>
      <c r="F842" s="12" t="s">
        <v>1528</v>
      </c>
      <c r="G842" s="9" t="s">
        <v>57</v>
      </c>
      <c r="H842" s="9" t="s">
        <v>17</v>
      </c>
      <c r="I842" s="13"/>
      <c r="J842" s="13"/>
      <c r="K842" s="14"/>
      <c r="L842" s="13"/>
      <c r="M842" s="14"/>
      <c r="N842" s="15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9">
        <v>841.0</v>
      </c>
      <c r="B843" s="10">
        <v>44043.0</v>
      </c>
      <c r="C843" s="9" t="s">
        <v>309</v>
      </c>
      <c r="D843" s="11" t="s">
        <v>1529</v>
      </c>
      <c r="E843" s="9">
        <v>9.710502294576E12</v>
      </c>
      <c r="F843" s="12" t="s">
        <v>1530</v>
      </c>
      <c r="G843" s="9" t="s">
        <v>181</v>
      </c>
      <c r="H843" s="9" t="s">
        <v>17</v>
      </c>
      <c r="I843" s="13"/>
      <c r="J843" s="13"/>
      <c r="K843" s="14"/>
      <c r="L843" s="13"/>
      <c r="M843" s="14"/>
      <c r="N843" s="15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9">
        <v>842.0</v>
      </c>
      <c r="B844" s="10">
        <v>44043.0</v>
      </c>
      <c r="C844" s="9" t="s">
        <v>47</v>
      </c>
      <c r="D844" s="11" t="s">
        <v>197</v>
      </c>
      <c r="E844" s="17">
        <f>+971501551364</f>
        <v>971501551364</v>
      </c>
      <c r="F844" s="12" t="s">
        <v>198</v>
      </c>
      <c r="G844" s="9" t="s">
        <v>176</v>
      </c>
      <c r="H844" s="9" t="s">
        <v>41</v>
      </c>
      <c r="I844" s="13"/>
      <c r="J844" s="13"/>
      <c r="K844" s="14"/>
      <c r="L844" s="13"/>
      <c r="M844" s="14"/>
      <c r="N844" s="15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9">
        <v>843.0</v>
      </c>
      <c r="B845" s="10">
        <v>44043.0</v>
      </c>
      <c r="C845" s="9" t="s">
        <v>47</v>
      </c>
      <c r="D845" s="11" t="s">
        <v>1531</v>
      </c>
      <c r="E845" s="17">
        <f>+9710526075623</f>
        <v>9710526075623</v>
      </c>
      <c r="F845" s="12" t="s">
        <v>1532</v>
      </c>
      <c r="G845" s="9" t="s">
        <v>80</v>
      </c>
      <c r="H845" s="9" t="s">
        <v>41</v>
      </c>
      <c r="I845" s="13"/>
      <c r="J845" s="13"/>
      <c r="K845" s="14"/>
      <c r="L845" s="13"/>
      <c r="M845" s="14"/>
      <c r="N845" s="15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9">
        <v>844.0</v>
      </c>
      <c r="B846" s="10">
        <v>44043.0</v>
      </c>
      <c r="C846" s="9" t="s">
        <v>47</v>
      </c>
      <c r="D846" s="11" t="s">
        <v>193</v>
      </c>
      <c r="E846" s="17">
        <f>+971502252087</f>
        <v>971502252087</v>
      </c>
      <c r="F846" s="12" t="s">
        <v>194</v>
      </c>
      <c r="G846" s="9" t="s">
        <v>80</v>
      </c>
      <c r="H846" s="9" t="s">
        <v>41</v>
      </c>
      <c r="I846" s="13"/>
      <c r="J846" s="13"/>
      <c r="K846" s="14"/>
      <c r="L846" s="13"/>
      <c r="M846" s="14"/>
      <c r="N846" s="15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9">
        <v>845.0</v>
      </c>
      <c r="B847" s="10">
        <v>44043.0</v>
      </c>
      <c r="C847" s="9" t="s">
        <v>309</v>
      </c>
      <c r="D847" s="11" t="s">
        <v>1533</v>
      </c>
      <c r="E847" s="9">
        <v>9.710557179247E12</v>
      </c>
      <c r="F847" s="12" t="s">
        <v>1534</v>
      </c>
      <c r="G847" s="9" t="s">
        <v>80</v>
      </c>
      <c r="H847" s="9" t="s">
        <v>337</v>
      </c>
      <c r="I847" s="13"/>
      <c r="J847" s="13"/>
      <c r="K847" s="14"/>
      <c r="L847" s="13"/>
      <c r="M847" s="14"/>
      <c r="N847" s="15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9">
        <v>846.0</v>
      </c>
      <c r="B848" s="10">
        <v>44043.0</v>
      </c>
      <c r="C848" s="9" t="s">
        <v>309</v>
      </c>
      <c r="D848" s="11" t="s">
        <v>1535</v>
      </c>
      <c r="E848" s="9">
        <v>9.710561267877E12</v>
      </c>
      <c r="F848" s="12" t="s">
        <v>1536</v>
      </c>
      <c r="G848" s="9" t="s">
        <v>138</v>
      </c>
      <c r="H848" s="9" t="s">
        <v>17</v>
      </c>
      <c r="I848" s="13"/>
      <c r="J848" s="13"/>
      <c r="K848" s="14"/>
      <c r="L848" s="13"/>
      <c r="M848" s="14"/>
      <c r="N848" s="15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9">
        <v>847.0</v>
      </c>
      <c r="B849" s="10">
        <v>44043.0</v>
      </c>
      <c r="C849" s="9" t="s">
        <v>309</v>
      </c>
      <c r="D849" s="16" t="s">
        <v>1537</v>
      </c>
      <c r="E849" s="9">
        <v>9.710503275575E12</v>
      </c>
      <c r="F849" s="12" t="s">
        <v>1538</v>
      </c>
      <c r="G849" s="9" t="s">
        <v>300</v>
      </c>
      <c r="H849" s="9" t="s">
        <v>41</v>
      </c>
      <c r="I849" s="13"/>
      <c r="J849" s="13"/>
      <c r="K849" s="14"/>
      <c r="L849" s="13"/>
      <c r="M849" s="22"/>
      <c r="N849" s="15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9">
        <v>848.0</v>
      </c>
      <c r="B850" s="10">
        <v>44043.0</v>
      </c>
      <c r="C850" s="9" t="s">
        <v>309</v>
      </c>
      <c r="D850" s="16" t="s">
        <v>1539</v>
      </c>
      <c r="E850" s="9">
        <v>9.710506117982E12</v>
      </c>
      <c r="F850" s="12" t="s">
        <v>1540</v>
      </c>
      <c r="G850" s="9" t="s">
        <v>80</v>
      </c>
      <c r="H850" s="9" t="s">
        <v>41</v>
      </c>
      <c r="I850" s="13"/>
      <c r="J850" s="13"/>
      <c r="K850" s="14"/>
      <c r="L850" s="13"/>
      <c r="M850" s="22"/>
      <c r="N850" s="15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9">
        <v>849.0</v>
      </c>
      <c r="B851" s="10">
        <v>44043.0</v>
      </c>
      <c r="C851" s="9" t="s">
        <v>47</v>
      </c>
      <c r="D851" s="11" t="s">
        <v>221</v>
      </c>
      <c r="E851" s="17">
        <f>+971582477876</f>
        <v>971582477876</v>
      </c>
      <c r="F851" s="12" t="s">
        <v>222</v>
      </c>
      <c r="G851" s="9" t="s">
        <v>176</v>
      </c>
      <c r="H851" s="9" t="s">
        <v>17</v>
      </c>
      <c r="I851" s="13"/>
      <c r="J851" s="13"/>
      <c r="K851" s="14"/>
      <c r="L851" s="13"/>
      <c r="M851" s="14"/>
      <c r="N851" s="15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9">
        <v>850.0</v>
      </c>
      <c r="B852" s="10">
        <v>44043.0</v>
      </c>
      <c r="C852" s="9" t="s">
        <v>47</v>
      </c>
      <c r="D852" s="11" t="s">
        <v>1541</v>
      </c>
      <c r="E852" s="17">
        <f>+330614050442</f>
        <v>330614050442</v>
      </c>
      <c r="F852" s="12" t="s">
        <v>1542</v>
      </c>
      <c r="G852" s="9" t="s">
        <v>176</v>
      </c>
      <c r="H852" s="9" t="s">
        <v>41</v>
      </c>
      <c r="I852" s="13"/>
      <c r="J852" s="13"/>
      <c r="K852" s="14"/>
      <c r="L852" s="13"/>
      <c r="M852" s="14"/>
      <c r="N852" s="15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9">
        <v>851.0</v>
      </c>
      <c r="B853" s="10">
        <v>44043.0</v>
      </c>
      <c r="C853" s="9" t="s">
        <v>1206</v>
      </c>
      <c r="D853" s="16" t="s">
        <v>1543</v>
      </c>
      <c r="E853" s="9">
        <v>9.66565884104E11</v>
      </c>
      <c r="F853" s="12" t="s">
        <v>1544</v>
      </c>
      <c r="G853" s="9" t="s">
        <v>28</v>
      </c>
      <c r="H853" s="9" t="s">
        <v>13</v>
      </c>
      <c r="I853" s="13"/>
      <c r="J853" s="13"/>
      <c r="K853" s="14"/>
      <c r="L853" s="13"/>
      <c r="M853" s="22"/>
      <c r="N853" s="15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9">
        <v>852.0</v>
      </c>
      <c r="B854" s="10">
        <v>44043.0</v>
      </c>
      <c r="C854" s="9" t="s">
        <v>309</v>
      </c>
      <c r="D854" s="11" t="s">
        <v>1545</v>
      </c>
      <c r="E854" s="9">
        <v>9.710503991107E12</v>
      </c>
      <c r="F854" s="12" t="s">
        <v>1546</v>
      </c>
      <c r="G854" s="9" t="s">
        <v>432</v>
      </c>
      <c r="H854" s="9" t="s">
        <v>21</v>
      </c>
      <c r="I854" s="13"/>
      <c r="J854" s="13"/>
      <c r="K854" s="14"/>
      <c r="L854" s="13"/>
      <c r="M854" s="14"/>
      <c r="N854" s="15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9">
        <v>853.0</v>
      </c>
      <c r="B855" s="10">
        <v>44042.0</v>
      </c>
      <c r="C855" s="9" t="s">
        <v>47</v>
      </c>
      <c r="D855" s="11" t="s">
        <v>1547</v>
      </c>
      <c r="E855" s="17">
        <f>+9710566882366</f>
        <v>9710566882366</v>
      </c>
      <c r="F855" s="12" t="s">
        <v>1548</v>
      </c>
      <c r="G855" s="9" t="s">
        <v>181</v>
      </c>
      <c r="H855" s="9" t="s">
        <v>17</v>
      </c>
      <c r="I855" s="13"/>
      <c r="J855" s="13"/>
      <c r="K855" s="14"/>
      <c r="L855" s="13"/>
      <c r="M855" s="14"/>
      <c r="N855" s="15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9">
        <v>854.0</v>
      </c>
      <c r="B856" s="10">
        <v>44042.0</v>
      </c>
      <c r="C856" s="9" t="s">
        <v>309</v>
      </c>
      <c r="D856" s="16" t="s">
        <v>1549</v>
      </c>
      <c r="E856" s="9">
        <v>9.71502988618E11</v>
      </c>
      <c r="F856" s="12" t="s">
        <v>1550</v>
      </c>
      <c r="G856" s="9" t="s">
        <v>16</v>
      </c>
      <c r="H856" s="9" t="s">
        <v>13</v>
      </c>
      <c r="I856" s="13"/>
      <c r="J856" s="13"/>
      <c r="K856" s="14"/>
      <c r="L856" s="13"/>
      <c r="M856" s="22"/>
      <c r="N856" s="15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9">
        <v>855.0</v>
      </c>
      <c r="B857" s="10">
        <v>44042.0</v>
      </c>
      <c r="C857" s="9" t="s">
        <v>309</v>
      </c>
      <c r="D857" s="11" t="s">
        <v>1551</v>
      </c>
      <c r="E857" s="9">
        <v>9.710505050292E12</v>
      </c>
      <c r="F857" s="12" t="s">
        <v>1552</v>
      </c>
      <c r="G857" s="9" t="s">
        <v>364</v>
      </c>
      <c r="H857" s="9" t="s">
        <v>73</v>
      </c>
      <c r="I857" s="13"/>
      <c r="J857" s="13"/>
      <c r="K857" s="14"/>
      <c r="L857" s="13"/>
      <c r="M857" s="14"/>
      <c r="N857" s="15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9">
        <v>856.0</v>
      </c>
      <c r="B858" s="10">
        <v>44042.0</v>
      </c>
      <c r="C858" s="9" t="s">
        <v>47</v>
      </c>
      <c r="D858" s="11" t="s">
        <v>235</v>
      </c>
      <c r="E858" s="17">
        <f>+9710554848101</f>
        <v>9710554848101</v>
      </c>
      <c r="F858" s="12" t="s">
        <v>236</v>
      </c>
      <c r="G858" s="9" t="s">
        <v>28</v>
      </c>
      <c r="H858" s="9" t="s">
        <v>13</v>
      </c>
      <c r="I858" s="13"/>
      <c r="J858" s="13"/>
      <c r="K858" s="14"/>
      <c r="L858" s="13"/>
      <c r="M858" s="14"/>
      <c r="N858" s="15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9">
        <v>857.0</v>
      </c>
      <c r="B859" s="10">
        <v>44043.0</v>
      </c>
      <c r="C859" s="9" t="s">
        <v>47</v>
      </c>
      <c r="D859" s="11" t="s">
        <v>1553</v>
      </c>
      <c r="E859" s="17">
        <f>+971503918131</f>
        <v>971503918131</v>
      </c>
      <c r="F859" s="12" t="s">
        <v>1554</v>
      </c>
      <c r="G859" s="9" t="s">
        <v>28</v>
      </c>
      <c r="H859" s="9" t="s">
        <v>13</v>
      </c>
      <c r="I859" s="13"/>
      <c r="J859" s="13"/>
      <c r="K859" s="14"/>
      <c r="L859" s="13"/>
      <c r="M859" s="14"/>
      <c r="N859" s="15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9">
        <v>858.0</v>
      </c>
      <c r="B860" s="10">
        <v>44042.0</v>
      </c>
      <c r="C860" s="9" t="s">
        <v>309</v>
      </c>
      <c r="D860" s="11" t="s">
        <v>1555</v>
      </c>
      <c r="E860" s="9">
        <v>9.710562787207E12</v>
      </c>
      <c r="F860" s="12" t="s">
        <v>1556</v>
      </c>
      <c r="G860" s="9" t="s">
        <v>52</v>
      </c>
      <c r="H860" s="9" t="s">
        <v>260</v>
      </c>
      <c r="I860" s="13"/>
      <c r="J860" s="13"/>
      <c r="K860" s="14"/>
      <c r="L860" s="13"/>
      <c r="M860" s="14"/>
      <c r="N860" s="15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9">
        <v>859.0</v>
      </c>
      <c r="B861" s="10">
        <v>44042.0</v>
      </c>
      <c r="C861" s="9" t="s">
        <v>309</v>
      </c>
      <c r="D861" s="11" t="s">
        <v>1557</v>
      </c>
      <c r="E861" s="9">
        <v>9.71506962993E11</v>
      </c>
      <c r="F861" s="12" t="s">
        <v>1558</v>
      </c>
      <c r="G861" s="9" t="s">
        <v>199</v>
      </c>
      <c r="H861" s="9" t="s">
        <v>17</v>
      </c>
      <c r="I861" s="13"/>
      <c r="J861" s="13"/>
      <c r="K861" s="14"/>
      <c r="L861" s="13"/>
      <c r="M861" s="14"/>
      <c r="N861" s="15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9">
        <v>860.0</v>
      </c>
      <c r="B862" s="10">
        <v>44042.0</v>
      </c>
      <c r="C862" s="9" t="s">
        <v>309</v>
      </c>
      <c r="D862" s="11" t="s">
        <v>1559</v>
      </c>
      <c r="E862" s="9">
        <v>9.710504838699E12</v>
      </c>
      <c r="F862" s="12" t="s">
        <v>1560</v>
      </c>
      <c r="G862" s="9" t="s">
        <v>176</v>
      </c>
      <c r="H862" s="9" t="s">
        <v>21</v>
      </c>
      <c r="I862" s="13"/>
      <c r="J862" s="13"/>
      <c r="K862" s="14"/>
      <c r="L862" s="13"/>
      <c r="M862" s="14"/>
      <c r="N862" s="15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9">
        <v>861.0</v>
      </c>
      <c r="B863" s="10">
        <v>44042.0</v>
      </c>
      <c r="C863" s="9" t="s">
        <v>47</v>
      </c>
      <c r="D863" s="11" t="s">
        <v>1561</v>
      </c>
      <c r="E863" s="17">
        <f>+971561520111</f>
        <v>971561520111</v>
      </c>
      <c r="F863" s="12" t="s">
        <v>1562</v>
      </c>
      <c r="G863" s="9" t="s">
        <v>181</v>
      </c>
      <c r="H863" s="9" t="s">
        <v>17</v>
      </c>
      <c r="I863" s="13"/>
      <c r="J863" s="13"/>
      <c r="K863" s="14"/>
      <c r="L863" s="13"/>
      <c r="M863" s="14"/>
      <c r="N863" s="15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9">
        <v>862.0</v>
      </c>
      <c r="B864" s="10">
        <v>44042.0</v>
      </c>
      <c r="C864" s="9" t="s">
        <v>47</v>
      </c>
      <c r="D864" s="11" t="s">
        <v>237</v>
      </c>
      <c r="E864" s="17">
        <f>+8618620100771</f>
        <v>8618620100771</v>
      </c>
      <c r="F864" s="12" t="s">
        <v>238</v>
      </c>
      <c r="G864" s="9" t="s">
        <v>28</v>
      </c>
      <c r="H864" s="9" t="s">
        <v>13</v>
      </c>
      <c r="I864" s="13"/>
      <c r="J864" s="13"/>
      <c r="K864" s="14"/>
      <c r="L864" s="13"/>
      <c r="M864" s="14"/>
      <c r="N864" s="15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9">
        <v>863.0</v>
      </c>
      <c r="B865" s="10">
        <v>44042.0</v>
      </c>
      <c r="C865" s="9" t="s">
        <v>47</v>
      </c>
      <c r="D865" s="11" t="s">
        <v>1563</v>
      </c>
      <c r="E865" s="17">
        <f>+971551750958</f>
        <v>971551750958</v>
      </c>
      <c r="F865" s="12" t="s">
        <v>1564</v>
      </c>
      <c r="G865" s="9" t="s">
        <v>12</v>
      </c>
      <c r="H865" s="9" t="s">
        <v>13</v>
      </c>
      <c r="I865" s="13"/>
      <c r="J865" s="13"/>
      <c r="K865" s="14"/>
      <c r="L865" s="13"/>
      <c r="M865" s="14"/>
      <c r="N865" s="15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9">
        <v>864.0</v>
      </c>
      <c r="B866" s="10">
        <v>44046.0</v>
      </c>
      <c r="C866" s="9" t="s">
        <v>47</v>
      </c>
      <c r="D866" s="11" t="s">
        <v>1565</v>
      </c>
      <c r="E866" s="17">
        <f>+971506836867</f>
        <v>971506836867</v>
      </c>
      <c r="F866" s="12" t="s">
        <v>1566</v>
      </c>
      <c r="G866" s="9" t="s">
        <v>35</v>
      </c>
      <c r="H866" s="9" t="s">
        <v>206</v>
      </c>
      <c r="I866" s="13"/>
      <c r="J866" s="13"/>
      <c r="K866" s="14"/>
      <c r="L866" s="13"/>
      <c r="M866" s="14"/>
      <c r="N866" s="15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9">
        <v>865.0</v>
      </c>
      <c r="B867" s="10">
        <v>44046.0</v>
      </c>
      <c r="C867" s="9" t="s">
        <v>47</v>
      </c>
      <c r="D867" s="11" t="s">
        <v>1567</v>
      </c>
      <c r="E867" s="17">
        <f>+971-5-566-46494</f>
        <v>-46094</v>
      </c>
      <c r="F867" s="12" t="s">
        <v>1568</v>
      </c>
      <c r="G867" s="9" t="s">
        <v>60</v>
      </c>
      <c r="H867" s="9" t="s">
        <v>21</v>
      </c>
      <c r="I867" s="13"/>
      <c r="J867" s="13"/>
      <c r="K867" s="14"/>
      <c r="L867" s="13"/>
      <c r="M867" s="14"/>
      <c r="N867" s="15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9">
        <v>866.0</v>
      </c>
      <c r="B868" s="10">
        <v>44044.0</v>
      </c>
      <c r="C868" s="9" t="s">
        <v>47</v>
      </c>
      <c r="D868" s="11" t="s">
        <v>330</v>
      </c>
      <c r="E868" s="17">
        <f>+971508939200</f>
        <v>971508939200</v>
      </c>
      <c r="F868" s="12" t="s">
        <v>331</v>
      </c>
      <c r="G868" s="9" t="s">
        <v>176</v>
      </c>
      <c r="H868" s="9" t="s">
        <v>21</v>
      </c>
      <c r="I868" s="13"/>
      <c r="J868" s="13"/>
      <c r="K868" s="14"/>
      <c r="L868" s="13"/>
      <c r="M868" s="14"/>
      <c r="N868" s="15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9">
        <v>867.0</v>
      </c>
      <c r="B869" s="10">
        <v>44042.0</v>
      </c>
      <c r="C869" s="9" t="s">
        <v>47</v>
      </c>
      <c r="D869" s="11" t="s">
        <v>1569</v>
      </c>
      <c r="E869" s="17">
        <f>+971501191114</f>
        <v>971501191114</v>
      </c>
      <c r="F869" s="12" t="s">
        <v>1570</v>
      </c>
      <c r="G869" s="9" t="s">
        <v>20</v>
      </c>
      <c r="H869" s="9" t="s">
        <v>17</v>
      </c>
      <c r="I869" s="13"/>
      <c r="J869" s="13"/>
      <c r="K869" s="14"/>
      <c r="L869" s="13"/>
      <c r="M869" s="14"/>
      <c r="N869" s="15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9">
        <v>868.0</v>
      </c>
      <c r="B870" s="10">
        <v>44042.0</v>
      </c>
      <c r="C870" s="9" t="s">
        <v>47</v>
      </c>
      <c r="D870" s="11" t="s">
        <v>1571</v>
      </c>
      <c r="E870" s="17">
        <f>+9710567799335</f>
        <v>9710567799335</v>
      </c>
      <c r="F870" s="12" t="s">
        <v>1572</v>
      </c>
      <c r="G870" s="9" t="s">
        <v>35</v>
      </c>
      <c r="H870" s="9" t="s">
        <v>206</v>
      </c>
      <c r="I870" s="13"/>
      <c r="J870" s="13"/>
      <c r="K870" s="14"/>
      <c r="L870" s="13"/>
      <c r="M870" s="14"/>
      <c r="N870" s="15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9">
        <v>869.0</v>
      </c>
      <c r="B871" s="10">
        <v>44042.0</v>
      </c>
      <c r="C871" s="9" t="s">
        <v>47</v>
      </c>
      <c r="D871" s="11" t="s">
        <v>276</v>
      </c>
      <c r="E871" s="17">
        <f>+9710551052623</f>
        <v>9710551052623</v>
      </c>
      <c r="F871" s="12" t="s">
        <v>1573</v>
      </c>
      <c r="G871" s="9" t="s">
        <v>176</v>
      </c>
      <c r="H871" s="9" t="s">
        <v>41</v>
      </c>
      <c r="I871" s="13"/>
      <c r="J871" s="13"/>
      <c r="K871" s="14"/>
      <c r="L871" s="13"/>
      <c r="M871" s="14"/>
      <c r="N871" s="15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9">
        <v>870.0</v>
      </c>
      <c r="B872" s="10">
        <v>44042.0</v>
      </c>
      <c r="C872" s="9" t="s">
        <v>47</v>
      </c>
      <c r="D872" s="11" t="s">
        <v>1574</v>
      </c>
      <c r="E872" s="9" t="s">
        <v>410</v>
      </c>
      <c r="F872" s="9" t="s">
        <v>410</v>
      </c>
      <c r="G872" s="9" t="s">
        <v>184</v>
      </c>
      <c r="H872" s="9" t="s">
        <v>385</v>
      </c>
      <c r="I872" s="13"/>
      <c r="J872" s="13"/>
      <c r="K872" s="14"/>
      <c r="L872" s="13"/>
      <c r="M872" s="14"/>
      <c r="N872" s="15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9">
        <v>871.0</v>
      </c>
      <c r="B873" s="10">
        <v>44042.0</v>
      </c>
      <c r="C873" s="9" t="s">
        <v>47</v>
      </c>
      <c r="D873" s="11" t="s">
        <v>278</v>
      </c>
      <c r="E873" s="17">
        <f>+971506289854</f>
        <v>971506289854</v>
      </c>
      <c r="F873" s="12" t="s">
        <v>279</v>
      </c>
      <c r="G873" s="9" t="s">
        <v>80</v>
      </c>
      <c r="H873" s="9" t="s">
        <v>17</v>
      </c>
      <c r="I873" s="13"/>
      <c r="J873" s="13"/>
      <c r="K873" s="14"/>
      <c r="L873" s="13"/>
      <c r="M873" s="14"/>
      <c r="N873" s="15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9">
        <v>872.0</v>
      </c>
      <c r="B874" s="10">
        <v>44042.0</v>
      </c>
      <c r="C874" s="9" t="s">
        <v>401</v>
      </c>
      <c r="D874" s="16" t="s">
        <v>1575</v>
      </c>
      <c r="E874" s="17">
        <f>+966507841221</f>
        <v>966507841221</v>
      </c>
      <c r="F874" s="12" t="s">
        <v>1576</v>
      </c>
      <c r="G874" s="9" t="s">
        <v>184</v>
      </c>
      <c r="H874" s="9" t="s">
        <v>385</v>
      </c>
      <c r="I874" s="13"/>
      <c r="J874" s="13"/>
      <c r="K874" s="14"/>
      <c r="L874" s="13"/>
      <c r="M874" s="22"/>
      <c r="N874" s="15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9">
        <v>873.0</v>
      </c>
      <c r="B875" s="10">
        <v>44042.0</v>
      </c>
      <c r="C875" s="9" t="s">
        <v>1206</v>
      </c>
      <c r="D875" s="16" t="s">
        <v>290</v>
      </c>
      <c r="E875" s="9">
        <v>9.660505504848E12</v>
      </c>
      <c r="F875" s="12" t="s">
        <v>1577</v>
      </c>
      <c r="G875" s="9" t="s">
        <v>176</v>
      </c>
      <c r="H875" s="9" t="s">
        <v>81</v>
      </c>
      <c r="I875" s="13"/>
      <c r="J875" s="13"/>
      <c r="K875" s="14"/>
      <c r="L875" s="13"/>
      <c r="M875" s="22"/>
      <c r="N875" s="15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9">
        <v>874.0</v>
      </c>
      <c r="B876" s="10">
        <v>44041.0</v>
      </c>
      <c r="C876" s="9" t="s">
        <v>309</v>
      </c>
      <c r="D876" s="11" t="s">
        <v>1578</v>
      </c>
      <c r="E876" s="9">
        <v>9.71050977926E12</v>
      </c>
      <c r="F876" s="12" t="s">
        <v>1579</v>
      </c>
      <c r="G876" s="9" t="s">
        <v>20</v>
      </c>
      <c r="H876" s="9" t="s">
        <v>17</v>
      </c>
      <c r="I876" s="13"/>
      <c r="J876" s="13"/>
      <c r="K876" s="14"/>
      <c r="L876" s="13"/>
      <c r="M876" s="14"/>
      <c r="N876" s="15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9">
        <v>875.0</v>
      </c>
      <c r="B877" s="10">
        <v>44041.0</v>
      </c>
      <c r="C877" s="9" t="s">
        <v>309</v>
      </c>
      <c r="D877" s="11" t="s">
        <v>1580</v>
      </c>
      <c r="E877" s="9">
        <v>9.710565470037E12</v>
      </c>
      <c r="F877" s="12" t="s">
        <v>1581</v>
      </c>
      <c r="G877" s="9" t="s">
        <v>199</v>
      </c>
      <c r="H877" s="9" t="s">
        <v>13</v>
      </c>
      <c r="I877" s="13"/>
      <c r="J877" s="13"/>
      <c r="K877" s="14"/>
      <c r="L877" s="13"/>
      <c r="M877" s="14"/>
      <c r="N877" s="15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9">
        <v>876.0</v>
      </c>
      <c r="B878" s="10">
        <v>44041.0</v>
      </c>
      <c r="C878" s="9" t="s">
        <v>309</v>
      </c>
      <c r="D878" s="16" t="s">
        <v>1582</v>
      </c>
      <c r="E878" s="9">
        <v>9.710565381385E12</v>
      </c>
      <c r="F878" s="12" t="s">
        <v>1583</v>
      </c>
      <c r="G878" s="9" t="s">
        <v>199</v>
      </c>
      <c r="H878" s="9" t="s">
        <v>13</v>
      </c>
      <c r="I878" s="13"/>
      <c r="J878" s="13"/>
      <c r="K878" s="14"/>
      <c r="L878" s="13"/>
      <c r="M878" s="22"/>
      <c r="N878" s="15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9">
        <v>877.0</v>
      </c>
      <c r="B879" s="10">
        <v>44041.0</v>
      </c>
      <c r="C879" s="9" t="s">
        <v>309</v>
      </c>
      <c r="D879" s="11" t="s">
        <v>1584</v>
      </c>
      <c r="E879" s="9">
        <v>9.710569537272E12</v>
      </c>
      <c r="F879" s="12" t="s">
        <v>1585</v>
      </c>
      <c r="G879" s="9" t="s">
        <v>80</v>
      </c>
      <c r="H879" s="9" t="s">
        <v>81</v>
      </c>
      <c r="I879" s="13"/>
      <c r="J879" s="13"/>
      <c r="K879" s="14"/>
      <c r="L879" s="13"/>
      <c r="M879" s="14"/>
      <c r="N879" s="15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9">
        <v>878.0</v>
      </c>
      <c r="B880" s="10">
        <v>44041.0</v>
      </c>
      <c r="C880" s="9" t="s">
        <v>309</v>
      </c>
      <c r="D880" s="11" t="s">
        <v>1586</v>
      </c>
      <c r="E880" s="9">
        <v>9.710503018028E12</v>
      </c>
      <c r="F880" s="12" t="s">
        <v>1587</v>
      </c>
      <c r="G880" s="9" t="s">
        <v>80</v>
      </c>
      <c r="H880" s="9" t="s">
        <v>41</v>
      </c>
      <c r="I880" s="13"/>
      <c r="J880" s="13"/>
      <c r="K880" s="14"/>
      <c r="L880" s="13"/>
      <c r="M880" s="14"/>
      <c r="N880" s="15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9">
        <v>879.0</v>
      </c>
      <c r="B881" s="10">
        <v>44041.0</v>
      </c>
      <c r="C881" s="9" t="s">
        <v>309</v>
      </c>
      <c r="D881" s="11" t="s">
        <v>1588</v>
      </c>
      <c r="E881" s="9">
        <v>9.710528696682E12</v>
      </c>
      <c r="F881" s="12" t="s">
        <v>1589</v>
      </c>
      <c r="G881" s="9" t="s">
        <v>176</v>
      </c>
      <c r="H881" s="9" t="s">
        <v>81</v>
      </c>
      <c r="I881" s="13"/>
      <c r="J881" s="13"/>
      <c r="K881" s="14"/>
      <c r="L881" s="13"/>
      <c r="M881" s="14"/>
      <c r="N881" s="15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9">
        <v>880.0</v>
      </c>
      <c r="B882" s="10">
        <v>44041.0</v>
      </c>
      <c r="C882" s="9" t="s">
        <v>309</v>
      </c>
      <c r="D882" s="11" t="s">
        <v>1590</v>
      </c>
      <c r="E882" s="9">
        <v>9.710562425025E12</v>
      </c>
      <c r="F882" s="12" t="s">
        <v>1591</v>
      </c>
      <c r="G882" s="9" t="s">
        <v>176</v>
      </c>
      <c r="H882" s="9" t="s">
        <v>41</v>
      </c>
      <c r="I882" s="13"/>
      <c r="J882" s="13"/>
      <c r="K882" s="14"/>
      <c r="L882" s="13"/>
      <c r="M882" s="14"/>
      <c r="N882" s="15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9">
        <v>881.0</v>
      </c>
      <c r="B883" s="10">
        <v>44041.0</v>
      </c>
      <c r="C883" s="9" t="s">
        <v>309</v>
      </c>
      <c r="D883" s="11" t="s">
        <v>1592</v>
      </c>
      <c r="E883" s="9">
        <v>9.710507260077E12</v>
      </c>
      <c r="F883" s="12" t="s">
        <v>1593</v>
      </c>
      <c r="G883" s="9" t="s">
        <v>60</v>
      </c>
      <c r="H883" s="9" t="s">
        <v>21</v>
      </c>
      <c r="I883" s="13"/>
      <c r="J883" s="13"/>
      <c r="K883" s="14"/>
      <c r="L883" s="13"/>
      <c r="M883" s="14"/>
      <c r="N883" s="15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9">
        <v>882.0</v>
      </c>
      <c r="B884" s="10">
        <v>44041.0</v>
      </c>
      <c r="C884" s="9" t="s">
        <v>309</v>
      </c>
      <c r="D884" s="16" t="s">
        <v>1594</v>
      </c>
      <c r="E884" s="9">
        <v>9.710507769894E12</v>
      </c>
      <c r="F884" s="12" t="s">
        <v>1595</v>
      </c>
      <c r="G884" s="9" t="s">
        <v>57</v>
      </c>
      <c r="H884" s="9" t="s">
        <v>17</v>
      </c>
      <c r="I884" s="13"/>
      <c r="J884" s="13"/>
      <c r="K884" s="14"/>
      <c r="L884" s="13"/>
      <c r="M884" s="22"/>
      <c r="N884" s="15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9">
        <v>883.0</v>
      </c>
      <c r="B885" s="10">
        <v>44041.0</v>
      </c>
      <c r="C885" s="9" t="s">
        <v>47</v>
      </c>
      <c r="D885" s="11" t="s">
        <v>1596</v>
      </c>
      <c r="E885" s="17">
        <f>+971556167901</f>
        <v>971556167901</v>
      </c>
      <c r="F885" s="12" t="s">
        <v>1597</v>
      </c>
      <c r="G885" s="9" t="s">
        <v>60</v>
      </c>
      <c r="H885" s="9" t="s">
        <v>21</v>
      </c>
      <c r="I885" s="13"/>
      <c r="J885" s="13"/>
      <c r="K885" s="14"/>
      <c r="L885" s="13"/>
      <c r="M885" s="14"/>
      <c r="N885" s="15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9">
        <v>884.0</v>
      </c>
      <c r="B886" s="10">
        <v>44041.0</v>
      </c>
      <c r="C886" s="9" t="s">
        <v>47</v>
      </c>
      <c r="D886" s="11" t="s">
        <v>1598</v>
      </c>
      <c r="E886" s="17">
        <f>+971501032402</f>
        <v>971501032402</v>
      </c>
      <c r="F886" s="12" t="s">
        <v>1599</v>
      </c>
      <c r="G886" s="9" t="s">
        <v>28</v>
      </c>
      <c r="H886" s="9" t="s">
        <v>13</v>
      </c>
      <c r="I886" s="13"/>
      <c r="J886" s="13"/>
      <c r="K886" s="14"/>
      <c r="L886" s="13"/>
      <c r="M886" s="14"/>
      <c r="N886" s="15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9">
        <v>885.0</v>
      </c>
      <c r="B887" s="10">
        <v>44041.0</v>
      </c>
      <c r="C887" s="9" t="s">
        <v>47</v>
      </c>
      <c r="D887" s="11" t="s">
        <v>1600</v>
      </c>
      <c r="E887" s="17">
        <f>+9710505227536</f>
        <v>9710505227536</v>
      </c>
      <c r="F887" s="12" t="s">
        <v>1601</v>
      </c>
      <c r="G887" s="9" t="s">
        <v>176</v>
      </c>
      <c r="H887" s="9" t="s">
        <v>81</v>
      </c>
      <c r="I887" s="13"/>
      <c r="J887" s="13"/>
      <c r="K887" s="14"/>
      <c r="L887" s="13"/>
      <c r="M887" s="14"/>
      <c r="N887" s="15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9">
        <v>886.0</v>
      </c>
      <c r="B888" s="10">
        <v>44041.0</v>
      </c>
      <c r="C888" s="9" t="s">
        <v>401</v>
      </c>
      <c r="D888" s="11" t="s">
        <v>1602</v>
      </c>
      <c r="E888" s="17">
        <f>+966504471916</f>
        <v>966504471916</v>
      </c>
      <c r="F888" s="12" t="s">
        <v>1603</v>
      </c>
      <c r="G888" s="9" t="s">
        <v>184</v>
      </c>
      <c r="H888" s="9" t="s">
        <v>385</v>
      </c>
      <c r="I888" s="13"/>
      <c r="J888" s="13"/>
      <c r="K888" s="14"/>
      <c r="L888" s="13"/>
      <c r="M888" s="14"/>
      <c r="N888" s="15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9">
        <v>887.0</v>
      </c>
      <c r="B889" s="10">
        <v>44040.0</v>
      </c>
      <c r="C889" s="9" t="s">
        <v>47</v>
      </c>
      <c r="D889" s="11" t="s">
        <v>1604</v>
      </c>
      <c r="E889" s="17">
        <f>+9710502294161</f>
        <v>9710502294161</v>
      </c>
      <c r="F889" s="12" t="s">
        <v>1605</v>
      </c>
      <c r="G889" s="9" t="s">
        <v>627</v>
      </c>
      <c r="H889" s="9" t="s">
        <v>13</v>
      </c>
      <c r="I889" s="13"/>
      <c r="J889" s="13"/>
      <c r="K889" s="14"/>
      <c r="L889" s="13"/>
      <c r="M889" s="14"/>
      <c r="N889" s="15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9">
        <v>888.0</v>
      </c>
      <c r="B890" s="10">
        <v>44040.0</v>
      </c>
      <c r="C890" s="9" t="s">
        <v>47</v>
      </c>
      <c r="D890" s="11" t="s">
        <v>1606</v>
      </c>
      <c r="E890" s="17">
        <f>+9710502685812</f>
        <v>9710502685812</v>
      </c>
      <c r="F890" s="12" t="s">
        <v>1607</v>
      </c>
      <c r="G890" s="9" t="s">
        <v>80</v>
      </c>
      <c r="H890" s="9" t="s">
        <v>41</v>
      </c>
      <c r="I890" s="13"/>
      <c r="J890" s="13"/>
      <c r="K890" s="14"/>
      <c r="L890" s="13"/>
      <c r="M890" s="14"/>
      <c r="N890" s="15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9">
        <v>889.0</v>
      </c>
      <c r="B891" s="10">
        <v>44040.0</v>
      </c>
      <c r="C891" s="9" t="s">
        <v>47</v>
      </c>
      <c r="D891" s="11" t="s">
        <v>1608</v>
      </c>
      <c r="E891" s="17">
        <f>+9710504836273</f>
        <v>9710504836273</v>
      </c>
      <c r="F891" s="12" t="s">
        <v>1609</v>
      </c>
      <c r="G891" s="9" t="s">
        <v>52</v>
      </c>
      <c r="H891" s="9" t="s">
        <v>17</v>
      </c>
      <c r="I891" s="13"/>
      <c r="J891" s="13"/>
      <c r="K891" s="14"/>
      <c r="L891" s="13"/>
      <c r="M891" s="14"/>
      <c r="N891" s="15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9">
        <v>890.0</v>
      </c>
      <c r="B892" s="18">
        <v>44040.0</v>
      </c>
      <c r="C892" s="19" t="s">
        <v>47</v>
      </c>
      <c r="D892" s="11" t="s">
        <v>1610</v>
      </c>
      <c r="E892" s="24">
        <f>+971563040927</f>
        <v>971563040927</v>
      </c>
      <c r="F892" s="12" t="s">
        <v>1611</v>
      </c>
      <c r="G892" s="19" t="s">
        <v>176</v>
      </c>
      <c r="H892" s="19" t="s">
        <v>41</v>
      </c>
      <c r="I892" s="13"/>
      <c r="J892" s="13"/>
      <c r="K892" s="20"/>
      <c r="L892" s="13"/>
      <c r="M892" s="20"/>
      <c r="N892" s="21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9">
        <v>891.0</v>
      </c>
      <c r="B893" s="10">
        <v>44040.0</v>
      </c>
      <c r="C893" s="19" t="s">
        <v>47</v>
      </c>
      <c r="D893" s="11" t="s">
        <v>1612</v>
      </c>
      <c r="E893" s="17">
        <f>+971505782146</f>
        <v>971505782146</v>
      </c>
      <c r="F893" s="12" t="s">
        <v>1613</v>
      </c>
      <c r="G893" s="9" t="s">
        <v>20</v>
      </c>
      <c r="H893" s="9" t="s">
        <v>41</v>
      </c>
      <c r="I893" s="13"/>
      <c r="J893" s="13"/>
      <c r="K893" s="14"/>
      <c r="L893" s="13"/>
      <c r="M893" s="14"/>
      <c r="N893" s="15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9">
        <v>892.0</v>
      </c>
      <c r="B894" s="1"/>
      <c r="C894" s="1"/>
      <c r="D894" s="11" t="e">
        <v>#VALUE!</v>
      </c>
      <c r="E894" s="1"/>
      <c r="F894" s="1"/>
      <c r="G894" s="1"/>
      <c r="H894" s="1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9">
        <v>893.0</v>
      </c>
      <c r="B895" s="10">
        <v>44040.0</v>
      </c>
      <c r="C895" s="9" t="s">
        <v>1206</v>
      </c>
      <c r="D895" s="16" t="s">
        <v>1614</v>
      </c>
      <c r="E895" s="9">
        <v>9.660583517715E12</v>
      </c>
      <c r="F895" s="12" t="s">
        <v>1615</v>
      </c>
      <c r="G895" s="9" t="s">
        <v>184</v>
      </c>
      <c r="H895" s="9" t="s">
        <v>385</v>
      </c>
      <c r="I895" s="13"/>
      <c r="J895" s="13"/>
      <c r="K895" s="14"/>
      <c r="L895" s="13"/>
      <c r="M895" s="22"/>
      <c r="N895" s="15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9">
        <v>894.0</v>
      </c>
      <c r="B896" s="10">
        <v>44040.0</v>
      </c>
      <c r="C896" s="9" t="s">
        <v>47</v>
      </c>
      <c r="D896" s="11" t="s">
        <v>1616</v>
      </c>
      <c r="E896" s="17">
        <f>+918957279076</f>
        <v>918957279076</v>
      </c>
      <c r="F896" s="12" t="s">
        <v>1617</v>
      </c>
      <c r="G896" s="9" t="s">
        <v>80</v>
      </c>
      <c r="H896" s="9" t="s">
        <v>41</v>
      </c>
      <c r="I896" s="13"/>
      <c r="J896" s="13"/>
      <c r="K896" s="14"/>
      <c r="L896" s="13"/>
      <c r="M896" s="14"/>
      <c r="N896" s="15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9">
        <v>895.0</v>
      </c>
      <c r="B897" s="10">
        <v>44040.0</v>
      </c>
      <c r="C897" s="9" t="s">
        <v>401</v>
      </c>
      <c r="D897" s="16" t="s">
        <v>1618</v>
      </c>
      <c r="E897" s="17">
        <f>+966531368647</f>
        <v>966531368647</v>
      </c>
      <c r="F897" s="12" t="s">
        <v>1619</v>
      </c>
      <c r="G897" s="9" t="s">
        <v>184</v>
      </c>
      <c r="H897" s="9" t="s">
        <v>385</v>
      </c>
      <c r="I897" s="13"/>
      <c r="J897" s="13"/>
      <c r="K897" s="14"/>
      <c r="L897" s="13"/>
      <c r="M897" s="22"/>
      <c r="N897" s="15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9">
        <v>896.0</v>
      </c>
      <c r="B898" s="10">
        <v>44040.0</v>
      </c>
      <c r="C898" s="9" t="s">
        <v>401</v>
      </c>
      <c r="D898" s="11" t="s">
        <v>1620</v>
      </c>
      <c r="E898" s="17">
        <f>+966582588126</f>
        <v>966582588126</v>
      </c>
      <c r="F898" s="12" t="s">
        <v>1621</v>
      </c>
      <c r="G898" s="9" t="s">
        <v>184</v>
      </c>
      <c r="H898" s="9" t="s">
        <v>385</v>
      </c>
      <c r="I898" s="13"/>
      <c r="J898" s="13"/>
      <c r="K898" s="14"/>
      <c r="L898" s="13"/>
      <c r="M898" s="14"/>
      <c r="N898" s="15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9">
        <v>897.0</v>
      </c>
      <c r="B899" s="10">
        <v>44040.0</v>
      </c>
      <c r="C899" s="9" t="s">
        <v>47</v>
      </c>
      <c r="D899" s="11" t="s">
        <v>1622</v>
      </c>
      <c r="E899" s="17">
        <f>+971508028089</f>
        <v>971508028089</v>
      </c>
      <c r="F899" s="12" t="s">
        <v>1623</v>
      </c>
      <c r="G899" s="9" t="s">
        <v>190</v>
      </c>
      <c r="H899" s="9" t="s">
        <v>13</v>
      </c>
      <c r="I899" s="13"/>
      <c r="J899" s="13"/>
      <c r="K899" s="14"/>
      <c r="L899" s="13"/>
      <c r="M899" s="14"/>
      <c r="N899" s="15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9">
        <v>898.0</v>
      </c>
      <c r="B900" s="10">
        <v>44039.0</v>
      </c>
      <c r="C900" s="9" t="s">
        <v>47</v>
      </c>
      <c r="D900" s="11" t="s">
        <v>1624</v>
      </c>
      <c r="E900" s="17">
        <f>+971551321865</f>
        <v>971551321865</v>
      </c>
      <c r="F900" s="12" t="s">
        <v>1625</v>
      </c>
      <c r="G900" s="9" t="s">
        <v>52</v>
      </c>
      <c r="H900" s="9" t="s">
        <v>17</v>
      </c>
      <c r="I900" s="13"/>
      <c r="J900" s="13"/>
      <c r="K900" s="14"/>
      <c r="L900" s="13"/>
      <c r="M900" s="14"/>
      <c r="N900" s="15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9">
        <v>899.0</v>
      </c>
      <c r="B901" s="10">
        <v>44039.0</v>
      </c>
      <c r="C901" s="9" t="s">
        <v>1626</v>
      </c>
      <c r="D901" s="11" t="s">
        <v>1627</v>
      </c>
      <c r="E901" s="17">
        <f>+971561259222</f>
        <v>971561259222</v>
      </c>
      <c r="F901" s="12" t="s">
        <v>1628</v>
      </c>
      <c r="G901" s="9" t="s">
        <v>12</v>
      </c>
      <c r="H901" s="9" t="s">
        <v>17</v>
      </c>
      <c r="I901" s="13"/>
      <c r="J901" s="13"/>
      <c r="K901" s="14"/>
      <c r="L901" s="13"/>
      <c r="M901" s="14"/>
      <c r="N901" s="15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9">
        <v>900.0</v>
      </c>
      <c r="B902" s="10">
        <v>44039.0</v>
      </c>
      <c r="C902" s="9" t="s">
        <v>47</v>
      </c>
      <c r="D902" s="11" t="s">
        <v>1629</v>
      </c>
      <c r="E902" s="17">
        <f>+971559578553</f>
        <v>971559578553</v>
      </c>
      <c r="F902" s="12" t="s">
        <v>1630</v>
      </c>
      <c r="G902" s="9" t="s">
        <v>28</v>
      </c>
      <c r="H902" s="9" t="s">
        <v>13</v>
      </c>
      <c r="I902" s="13"/>
      <c r="J902" s="13"/>
      <c r="K902" s="14"/>
      <c r="L902" s="13"/>
      <c r="M902" s="14"/>
      <c r="N902" s="15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9">
        <v>901.0</v>
      </c>
      <c r="B903" s="10">
        <v>44039.0</v>
      </c>
      <c r="C903" s="9" t="s">
        <v>47</v>
      </c>
      <c r="D903" s="11" t="s">
        <v>1631</v>
      </c>
      <c r="E903" s="17">
        <f>+971522756169</f>
        <v>971522756169</v>
      </c>
      <c r="F903" s="12" t="s">
        <v>1632</v>
      </c>
      <c r="G903" s="9" t="s">
        <v>80</v>
      </c>
      <c r="H903" s="9" t="s">
        <v>41</v>
      </c>
      <c r="I903" s="13"/>
      <c r="J903" s="13"/>
      <c r="K903" s="14"/>
      <c r="L903" s="13"/>
      <c r="M903" s="14"/>
      <c r="N903" s="15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9">
        <v>902.0</v>
      </c>
      <c r="B904" s="10">
        <v>44039.0</v>
      </c>
      <c r="C904" s="9" t="s">
        <v>47</v>
      </c>
      <c r="D904" s="11" t="s">
        <v>1633</v>
      </c>
      <c r="E904" s="9" t="s">
        <v>410</v>
      </c>
      <c r="F904" s="9" t="s">
        <v>410</v>
      </c>
      <c r="G904" s="9" t="s">
        <v>138</v>
      </c>
      <c r="H904" s="9" t="s">
        <v>385</v>
      </c>
      <c r="I904" s="13"/>
      <c r="J904" s="13"/>
      <c r="K904" s="14"/>
      <c r="L904" s="13"/>
      <c r="M904" s="14"/>
      <c r="N904" s="15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9">
        <v>903.0</v>
      </c>
      <c r="B905" s="10">
        <v>44039.0</v>
      </c>
      <c r="C905" s="9" t="s">
        <v>1206</v>
      </c>
      <c r="D905" s="11" t="s">
        <v>1634</v>
      </c>
      <c r="E905" s="9" t="s">
        <v>410</v>
      </c>
      <c r="F905" s="9" t="s">
        <v>410</v>
      </c>
      <c r="G905" s="9" t="s">
        <v>131</v>
      </c>
      <c r="H905" s="9" t="s">
        <v>17</v>
      </c>
      <c r="I905" s="13"/>
      <c r="J905" s="13"/>
      <c r="K905" s="14"/>
      <c r="L905" s="13"/>
      <c r="M905" s="14"/>
      <c r="N905" s="15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9">
        <v>904.0</v>
      </c>
      <c r="B906" s="10">
        <v>44039.0</v>
      </c>
      <c r="C906" s="9" t="s">
        <v>1635</v>
      </c>
      <c r="D906" s="11" t="s">
        <v>1636</v>
      </c>
      <c r="E906" s="9" t="s">
        <v>410</v>
      </c>
      <c r="F906" s="9" t="s">
        <v>410</v>
      </c>
      <c r="G906" s="9" t="s">
        <v>184</v>
      </c>
      <c r="H906" s="9" t="s">
        <v>385</v>
      </c>
      <c r="I906" s="13"/>
      <c r="J906" s="13"/>
      <c r="K906" s="14"/>
      <c r="L906" s="13"/>
      <c r="M906" s="14"/>
      <c r="N906" s="15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9">
        <v>905.0</v>
      </c>
      <c r="B907" s="10">
        <v>44039.0</v>
      </c>
      <c r="C907" s="9" t="s">
        <v>1206</v>
      </c>
      <c r="D907" s="16" t="s">
        <v>1637</v>
      </c>
      <c r="E907" s="9" t="s">
        <v>410</v>
      </c>
      <c r="F907" s="9" t="s">
        <v>410</v>
      </c>
      <c r="G907" s="9" t="s">
        <v>25</v>
      </c>
      <c r="H907" s="9" t="s">
        <v>385</v>
      </c>
      <c r="I907" s="13"/>
      <c r="J907" s="13"/>
      <c r="K907" s="14"/>
      <c r="L907" s="13"/>
      <c r="M907" s="22"/>
      <c r="N907" s="15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9">
        <v>906.0</v>
      </c>
      <c r="B908" s="10">
        <v>44039.0</v>
      </c>
      <c r="C908" s="9" t="s">
        <v>47</v>
      </c>
      <c r="D908" s="11" t="s">
        <v>1638</v>
      </c>
      <c r="E908" s="9">
        <v>9.710504513405E12</v>
      </c>
      <c r="F908" s="12" t="s">
        <v>1639</v>
      </c>
      <c r="G908" s="9" t="s">
        <v>60</v>
      </c>
      <c r="H908" s="9" t="s">
        <v>654</v>
      </c>
      <c r="I908" s="13"/>
      <c r="J908" s="13"/>
      <c r="K908" s="14"/>
      <c r="L908" s="13"/>
      <c r="M908" s="14"/>
      <c r="N908" s="15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9">
        <v>907.0</v>
      </c>
      <c r="B909" s="10">
        <v>44039.0</v>
      </c>
      <c r="C909" s="9" t="s">
        <v>47</v>
      </c>
      <c r="D909" s="11" t="s">
        <v>1640</v>
      </c>
      <c r="E909" s="9">
        <v>9.71555999463E11</v>
      </c>
      <c r="F909" s="12" t="s">
        <v>154</v>
      </c>
      <c r="G909" s="9" t="s">
        <v>20</v>
      </c>
      <c r="H909" s="9" t="s">
        <v>13</v>
      </c>
      <c r="I909" s="13"/>
      <c r="J909" s="13"/>
      <c r="K909" s="14"/>
      <c r="L909" s="13"/>
      <c r="M909" s="14"/>
      <c r="N909" s="15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9">
        <v>908.0</v>
      </c>
      <c r="B910" s="10">
        <v>44039.0</v>
      </c>
      <c r="C910" s="9" t="s">
        <v>47</v>
      </c>
      <c r="D910" s="11" t="s">
        <v>153</v>
      </c>
      <c r="E910" s="17">
        <f>+9710555999463</f>
        <v>9710555999463</v>
      </c>
      <c r="F910" s="12" t="s">
        <v>154</v>
      </c>
      <c r="G910" s="9" t="s">
        <v>20</v>
      </c>
      <c r="H910" s="9" t="s">
        <v>41</v>
      </c>
      <c r="I910" s="13"/>
      <c r="J910" s="13"/>
      <c r="K910" s="14"/>
      <c r="L910" s="13"/>
      <c r="M910" s="14"/>
      <c r="N910" s="15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9">
        <v>909.0</v>
      </c>
      <c r="B911" s="10">
        <v>44039.0</v>
      </c>
      <c r="C911" s="9" t="s">
        <v>401</v>
      </c>
      <c r="D911" s="16" t="s">
        <v>1641</v>
      </c>
      <c r="E911" s="17">
        <f>+966504683881</f>
        <v>966504683881</v>
      </c>
      <c r="F911" s="12" t="s">
        <v>1642</v>
      </c>
      <c r="G911" s="9" t="s">
        <v>184</v>
      </c>
      <c r="H911" s="9" t="s">
        <v>385</v>
      </c>
      <c r="I911" s="13"/>
      <c r="J911" s="13"/>
      <c r="K911" s="14"/>
      <c r="L911" s="13"/>
      <c r="M911" s="22"/>
      <c r="N911" s="15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9">
        <v>910.0</v>
      </c>
      <c r="B912" s="10">
        <v>44039.0</v>
      </c>
      <c r="C912" s="9" t="s">
        <v>401</v>
      </c>
      <c r="D912" s="16" t="s">
        <v>1643</v>
      </c>
      <c r="E912" s="17">
        <f>+966536951107</f>
        <v>966536951107</v>
      </c>
      <c r="F912" s="12" t="s">
        <v>1644</v>
      </c>
      <c r="G912" s="9" t="s">
        <v>184</v>
      </c>
      <c r="H912" s="9" t="s">
        <v>385</v>
      </c>
      <c r="I912" s="13"/>
      <c r="J912" s="13"/>
      <c r="K912" s="14"/>
      <c r="L912" s="13"/>
      <c r="M912" s="22"/>
      <c r="N912" s="15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9">
        <v>911.0</v>
      </c>
      <c r="B913" s="10">
        <v>44039.0</v>
      </c>
      <c r="C913" s="9" t="s">
        <v>401</v>
      </c>
      <c r="D913" s="11" t="s">
        <v>1645</v>
      </c>
      <c r="E913" s="17">
        <f>+966508314149</f>
        <v>966508314149</v>
      </c>
      <c r="F913" s="12" t="s">
        <v>1646</v>
      </c>
      <c r="G913" s="9" t="s">
        <v>184</v>
      </c>
      <c r="H913" s="9" t="s">
        <v>385</v>
      </c>
      <c r="I913" s="13"/>
      <c r="J913" s="13"/>
      <c r="K913" s="14"/>
      <c r="L913" s="13"/>
      <c r="M913" s="14"/>
      <c r="N913" s="15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9">
        <v>912.0</v>
      </c>
      <c r="B914" s="10">
        <v>44039.0</v>
      </c>
      <c r="C914" s="9" t="s">
        <v>47</v>
      </c>
      <c r="D914" s="11" t="s">
        <v>1647</v>
      </c>
      <c r="E914" s="17">
        <f>+971566440251</f>
        <v>971566440251</v>
      </c>
      <c r="F914" s="12" t="s">
        <v>1648</v>
      </c>
      <c r="G914" s="9" t="s">
        <v>20</v>
      </c>
      <c r="H914" s="9" t="s">
        <v>41</v>
      </c>
      <c r="I914" s="13"/>
      <c r="J914" s="13"/>
      <c r="K914" s="14"/>
      <c r="L914" s="13"/>
      <c r="M914" s="14"/>
      <c r="N914" s="15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9">
        <v>913.0</v>
      </c>
      <c r="B915" s="10">
        <v>44038.0</v>
      </c>
      <c r="C915" s="9" t="s">
        <v>47</v>
      </c>
      <c r="D915" s="11" t="s">
        <v>1649</v>
      </c>
      <c r="E915" s="17">
        <f>+971555592557</f>
        <v>971555592557</v>
      </c>
      <c r="F915" s="12" t="s">
        <v>1650</v>
      </c>
      <c r="G915" s="9" t="s">
        <v>35</v>
      </c>
      <c r="H915" s="9" t="s">
        <v>206</v>
      </c>
      <c r="I915" s="13"/>
      <c r="J915" s="13"/>
      <c r="K915" s="14"/>
      <c r="L915" s="13"/>
      <c r="M915" s="14"/>
      <c r="N915" s="15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9">
        <v>914.0</v>
      </c>
      <c r="B916" s="10">
        <v>44038.0</v>
      </c>
      <c r="C916" s="9" t="s">
        <v>47</v>
      </c>
      <c r="D916" s="11" t="s">
        <v>1651</v>
      </c>
      <c r="E916" s="17">
        <f>+971508458881</f>
        <v>971508458881</v>
      </c>
      <c r="F916" s="12" t="s">
        <v>1652</v>
      </c>
      <c r="G916" s="9" t="s">
        <v>52</v>
      </c>
      <c r="H916" s="9" t="s">
        <v>17</v>
      </c>
      <c r="I916" s="13"/>
      <c r="J916" s="13"/>
      <c r="K916" s="14"/>
      <c r="L916" s="13"/>
      <c r="M916" s="14"/>
      <c r="N916" s="15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9">
        <v>915.0</v>
      </c>
      <c r="B917" s="10">
        <v>44038.0</v>
      </c>
      <c r="C917" s="9" t="s">
        <v>47</v>
      </c>
      <c r="D917" s="11" t="s">
        <v>1653</v>
      </c>
      <c r="E917" s="17">
        <f>+971563155948</f>
        <v>971563155948</v>
      </c>
      <c r="F917" s="12" t="s">
        <v>1654</v>
      </c>
      <c r="G917" s="9" t="s">
        <v>12</v>
      </c>
      <c r="H917" s="9" t="s">
        <v>41</v>
      </c>
      <c r="I917" s="13"/>
      <c r="J917" s="13"/>
      <c r="K917" s="14"/>
      <c r="L917" s="13"/>
      <c r="M917" s="14"/>
      <c r="N917" s="15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9">
        <v>916.0</v>
      </c>
      <c r="B918" s="10">
        <v>44038.0</v>
      </c>
      <c r="C918" s="9" t="s">
        <v>47</v>
      </c>
      <c r="D918" s="11" t="s">
        <v>1655</v>
      </c>
      <c r="E918" s="17">
        <f>+9710552800445</f>
        <v>9710552800445</v>
      </c>
      <c r="F918" s="12" t="s">
        <v>1656</v>
      </c>
      <c r="G918" s="9" t="s">
        <v>57</v>
      </c>
      <c r="H918" s="9" t="s">
        <v>17</v>
      </c>
      <c r="I918" s="13"/>
      <c r="J918" s="13"/>
      <c r="K918" s="14"/>
      <c r="L918" s="13"/>
      <c r="M918" s="14"/>
      <c r="N918" s="15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9">
        <v>917.0</v>
      </c>
      <c r="B919" s="10">
        <v>44038.0</v>
      </c>
      <c r="C919" s="9" t="s">
        <v>47</v>
      </c>
      <c r="D919" s="16" t="s">
        <v>1657</v>
      </c>
      <c r="E919" s="17">
        <f>+971544441483</f>
        <v>971544441483</v>
      </c>
      <c r="F919" s="12" t="s">
        <v>1658</v>
      </c>
      <c r="G919" s="9" t="s">
        <v>176</v>
      </c>
      <c r="H919" s="9" t="s">
        <v>41</v>
      </c>
      <c r="I919" s="13"/>
      <c r="J919" s="13"/>
      <c r="K919" s="14"/>
      <c r="L919" s="13"/>
      <c r="M919" s="22"/>
      <c r="N919" s="15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9">
        <v>918.0</v>
      </c>
      <c r="B920" s="10">
        <v>44038.0</v>
      </c>
      <c r="C920" s="9" t="s">
        <v>47</v>
      </c>
      <c r="D920" s="11" t="s">
        <v>1456</v>
      </c>
      <c r="E920" s="17">
        <f>+971556381800</f>
        <v>971556381800</v>
      </c>
      <c r="F920" s="12" t="s">
        <v>1659</v>
      </c>
      <c r="G920" s="9" t="s">
        <v>176</v>
      </c>
      <c r="H920" s="9" t="s">
        <v>81</v>
      </c>
      <c r="I920" s="13"/>
      <c r="J920" s="13"/>
      <c r="K920" s="14"/>
      <c r="L920" s="13"/>
      <c r="M920" s="14"/>
      <c r="N920" s="15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9">
        <v>919.0</v>
      </c>
      <c r="B921" s="10">
        <v>44038.0</v>
      </c>
      <c r="C921" s="9" t="s">
        <v>47</v>
      </c>
      <c r="D921" s="11" t="s">
        <v>1660</v>
      </c>
      <c r="E921" s="17">
        <f>+971503153889</f>
        <v>971503153889</v>
      </c>
      <c r="F921" s="12" t="s">
        <v>1661</v>
      </c>
      <c r="G921" s="9" t="s">
        <v>176</v>
      </c>
      <c r="H921" s="9" t="s">
        <v>41</v>
      </c>
      <c r="I921" s="13"/>
      <c r="J921" s="13"/>
      <c r="K921" s="14"/>
      <c r="L921" s="13"/>
      <c r="M921" s="14"/>
      <c r="N921" s="15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9">
        <v>920.0</v>
      </c>
      <c r="B922" s="10">
        <v>44038.0</v>
      </c>
      <c r="C922" s="9" t="s">
        <v>47</v>
      </c>
      <c r="D922" s="11" t="s">
        <v>1567</v>
      </c>
      <c r="E922" s="17">
        <f>+971556646494</f>
        <v>971556646494</v>
      </c>
      <c r="F922" s="12" t="s">
        <v>1568</v>
      </c>
      <c r="G922" s="9" t="s">
        <v>80</v>
      </c>
      <c r="H922" s="9" t="s">
        <v>17</v>
      </c>
      <c r="I922" s="13"/>
      <c r="J922" s="13"/>
      <c r="K922" s="14"/>
      <c r="L922" s="13"/>
      <c r="M922" s="14"/>
      <c r="N922" s="15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9">
        <v>921.0</v>
      </c>
      <c r="B923" s="10">
        <v>44038.0</v>
      </c>
      <c r="C923" s="9" t="s">
        <v>401</v>
      </c>
      <c r="D923" s="11" t="s">
        <v>1662</v>
      </c>
      <c r="E923" s="17">
        <f>+966504604223</f>
        <v>966504604223</v>
      </c>
      <c r="F923" s="12" t="s">
        <v>1663</v>
      </c>
      <c r="G923" s="9" t="s">
        <v>184</v>
      </c>
      <c r="H923" s="9" t="s">
        <v>385</v>
      </c>
      <c r="I923" s="13"/>
      <c r="J923" s="13"/>
      <c r="K923" s="14"/>
      <c r="L923" s="13"/>
      <c r="M923" s="14"/>
      <c r="N923" s="15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9">
        <v>922.0</v>
      </c>
      <c r="B924" s="10">
        <v>44038.0</v>
      </c>
      <c r="C924" s="9" t="s">
        <v>401</v>
      </c>
      <c r="D924" s="11" t="s">
        <v>1664</v>
      </c>
      <c r="E924" s="17">
        <f>+966509669209</f>
        <v>966509669209</v>
      </c>
      <c r="F924" s="12" t="s">
        <v>1665</v>
      </c>
      <c r="G924" s="9" t="s">
        <v>184</v>
      </c>
      <c r="H924" s="9" t="s">
        <v>385</v>
      </c>
      <c r="I924" s="13"/>
      <c r="J924" s="13"/>
      <c r="K924" s="14"/>
      <c r="L924" s="13"/>
      <c r="M924" s="14"/>
      <c r="N924" s="15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9">
        <v>923.0</v>
      </c>
      <c r="B925" s="10">
        <v>44038.0</v>
      </c>
      <c r="C925" s="9" t="s">
        <v>401</v>
      </c>
      <c r="D925" s="16" t="s">
        <v>1666</v>
      </c>
      <c r="E925" s="17">
        <f>+966506633648</f>
        <v>966506633648</v>
      </c>
      <c r="F925" s="12" t="s">
        <v>1667</v>
      </c>
      <c r="G925" s="9" t="s">
        <v>184</v>
      </c>
      <c r="H925" s="9" t="s">
        <v>385</v>
      </c>
      <c r="I925" s="13"/>
      <c r="J925" s="13"/>
      <c r="K925" s="14"/>
      <c r="L925" s="13"/>
      <c r="M925" s="22"/>
      <c r="N925" s="15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9">
        <v>924.0</v>
      </c>
      <c r="B926" s="10">
        <v>44038.0</v>
      </c>
      <c r="C926" s="9" t="s">
        <v>401</v>
      </c>
      <c r="D926" s="11" t="s">
        <v>1668</v>
      </c>
      <c r="E926" s="17">
        <f>+966539063000</f>
        <v>966539063000</v>
      </c>
      <c r="F926" s="12" t="s">
        <v>1669</v>
      </c>
      <c r="G926" s="9" t="s">
        <v>184</v>
      </c>
      <c r="H926" s="9" t="s">
        <v>385</v>
      </c>
      <c r="I926" s="13"/>
      <c r="J926" s="13"/>
      <c r="K926" s="14"/>
      <c r="L926" s="13"/>
      <c r="M926" s="14"/>
      <c r="N926" s="15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9">
        <v>925.0</v>
      </c>
      <c r="B927" s="10">
        <v>44037.0</v>
      </c>
      <c r="C927" s="9" t="s">
        <v>1670</v>
      </c>
      <c r="D927" s="11" t="s">
        <v>1671</v>
      </c>
      <c r="E927" s="17">
        <f>+917737142947</f>
        <v>917737142947</v>
      </c>
      <c r="F927" s="12" t="s">
        <v>1672</v>
      </c>
      <c r="G927" s="9" t="s">
        <v>176</v>
      </c>
      <c r="H927" s="9" t="s">
        <v>41</v>
      </c>
      <c r="I927" s="13"/>
      <c r="J927" s="13"/>
      <c r="K927" s="14"/>
      <c r="L927" s="13"/>
      <c r="M927" s="14"/>
      <c r="N927" s="15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9">
        <v>926.0</v>
      </c>
      <c r="B928" s="10">
        <v>44037.0</v>
      </c>
      <c r="C928" s="9" t="s">
        <v>1461</v>
      </c>
      <c r="D928" s="11" t="s">
        <v>1673</v>
      </c>
      <c r="E928" s="9">
        <v>9.710504705875E12</v>
      </c>
      <c r="F928" s="12" t="s">
        <v>1674</v>
      </c>
      <c r="G928" s="9" t="s">
        <v>80</v>
      </c>
      <c r="H928" s="9" t="s">
        <v>41</v>
      </c>
      <c r="I928" s="13"/>
      <c r="J928" s="13"/>
      <c r="K928" s="14"/>
      <c r="L928" s="13"/>
      <c r="M928" s="14"/>
      <c r="N928" s="15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9">
        <v>927.0</v>
      </c>
      <c r="B929" s="10">
        <v>44037.0</v>
      </c>
      <c r="C929" s="9" t="s">
        <v>1461</v>
      </c>
      <c r="D929" s="11" t="s">
        <v>1675</v>
      </c>
      <c r="E929" s="9">
        <v>9.71569876543E11</v>
      </c>
      <c r="F929" s="12" t="s">
        <v>1676</v>
      </c>
      <c r="G929" s="9" t="s">
        <v>176</v>
      </c>
      <c r="H929" s="9" t="s">
        <v>41</v>
      </c>
      <c r="I929" s="13"/>
      <c r="J929" s="13"/>
      <c r="K929" s="14"/>
      <c r="L929" s="13"/>
      <c r="M929" s="14"/>
      <c r="N929" s="15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9">
        <v>928.0</v>
      </c>
      <c r="B930" s="10">
        <v>44037.0</v>
      </c>
      <c r="C930" s="9" t="s">
        <v>1461</v>
      </c>
      <c r="D930" s="11" t="s">
        <v>1677</v>
      </c>
      <c r="E930" s="9">
        <v>9.710553013094E12</v>
      </c>
      <c r="F930" s="12" t="s">
        <v>1678</v>
      </c>
      <c r="G930" s="9" t="s">
        <v>176</v>
      </c>
      <c r="H930" s="9" t="s">
        <v>41</v>
      </c>
      <c r="I930" s="13"/>
      <c r="J930" s="13"/>
      <c r="K930" s="14"/>
      <c r="L930" s="13"/>
      <c r="M930" s="14"/>
      <c r="N930" s="15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9">
        <v>929.0</v>
      </c>
      <c r="B931" s="10">
        <v>44037.0</v>
      </c>
      <c r="C931" s="9" t="s">
        <v>1461</v>
      </c>
      <c r="D931" s="11" t="s">
        <v>1679</v>
      </c>
      <c r="E931" s="9">
        <v>9.710506540024E12</v>
      </c>
      <c r="F931" s="12" t="s">
        <v>1680</v>
      </c>
      <c r="G931" s="9" t="s">
        <v>80</v>
      </c>
      <c r="H931" s="9" t="s">
        <v>17</v>
      </c>
      <c r="I931" s="13"/>
      <c r="J931" s="13"/>
      <c r="K931" s="14"/>
      <c r="L931" s="13"/>
      <c r="M931" s="14"/>
      <c r="N931" s="15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9">
        <v>930.0</v>
      </c>
      <c r="B932" s="10">
        <v>44037.0</v>
      </c>
      <c r="C932" s="9" t="s">
        <v>1461</v>
      </c>
      <c r="D932" s="11" t="s">
        <v>1681</v>
      </c>
      <c r="E932" s="9">
        <v>9.71565066193E11</v>
      </c>
      <c r="F932" s="12" t="s">
        <v>1682</v>
      </c>
      <c r="G932" s="9" t="s">
        <v>627</v>
      </c>
      <c r="H932" s="9" t="s">
        <v>41</v>
      </c>
      <c r="I932" s="13"/>
      <c r="J932" s="13"/>
      <c r="K932" s="14"/>
      <c r="L932" s="13"/>
      <c r="M932" s="14"/>
      <c r="N932" s="15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9">
        <v>931.0</v>
      </c>
      <c r="B933" s="10">
        <v>44037.0</v>
      </c>
      <c r="C933" s="9" t="s">
        <v>1461</v>
      </c>
      <c r="D933" s="11" t="s">
        <v>1683</v>
      </c>
      <c r="E933" s="9">
        <v>9.710509420988E12</v>
      </c>
      <c r="F933" s="12" t="s">
        <v>1684</v>
      </c>
      <c r="G933" s="9" t="s">
        <v>627</v>
      </c>
      <c r="H933" s="9" t="s">
        <v>41</v>
      </c>
      <c r="I933" s="13"/>
      <c r="J933" s="13"/>
      <c r="K933" s="14"/>
      <c r="L933" s="13"/>
      <c r="M933" s="14"/>
      <c r="N933" s="15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9">
        <v>932.0</v>
      </c>
      <c r="B934" s="10">
        <v>44037.0</v>
      </c>
      <c r="C934" s="9" t="s">
        <v>1461</v>
      </c>
      <c r="D934" s="11" t="s">
        <v>1685</v>
      </c>
      <c r="E934" s="9">
        <v>9.71543831766E11</v>
      </c>
      <c r="F934" s="12" t="s">
        <v>1686</v>
      </c>
      <c r="G934" s="9" t="s">
        <v>176</v>
      </c>
      <c r="H934" s="9" t="s">
        <v>41</v>
      </c>
      <c r="I934" s="13"/>
      <c r="J934" s="13"/>
      <c r="K934" s="14"/>
      <c r="L934" s="13"/>
      <c r="M934" s="14"/>
      <c r="N934" s="15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9">
        <v>933.0</v>
      </c>
      <c r="B935" s="10">
        <v>44037.0</v>
      </c>
      <c r="C935" s="9" t="s">
        <v>1461</v>
      </c>
      <c r="D935" s="11" t="s">
        <v>1687</v>
      </c>
      <c r="E935" s="9">
        <v>9.71557795591E11</v>
      </c>
      <c r="F935" s="12" t="s">
        <v>1688</v>
      </c>
      <c r="G935" s="9" t="s">
        <v>176</v>
      </c>
      <c r="H935" s="9" t="s">
        <v>17</v>
      </c>
      <c r="I935" s="13"/>
      <c r="J935" s="13"/>
      <c r="K935" s="14"/>
      <c r="L935" s="13"/>
      <c r="M935" s="14"/>
      <c r="N935" s="15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9">
        <v>934.0</v>
      </c>
      <c r="B936" s="10">
        <v>44037.0</v>
      </c>
      <c r="C936" s="9" t="s">
        <v>1461</v>
      </c>
      <c r="D936" s="11" t="s">
        <v>1689</v>
      </c>
      <c r="E936" s="9">
        <v>9.710503341616E12</v>
      </c>
      <c r="F936" s="12" t="s">
        <v>1690</v>
      </c>
      <c r="G936" s="9" t="s">
        <v>80</v>
      </c>
      <c r="H936" s="9" t="s">
        <v>81</v>
      </c>
      <c r="I936" s="13"/>
      <c r="J936" s="13"/>
      <c r="K936" s="14"/>
      <c r="L936" s="13"/>
      <c r="M936" s="14"/>
      <c r="N936" s="15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9">
        <v>935.0</v>
      </c>
      <c r="B937" s="10">
        <v>44037.0</v>
      </c>
      <c r="C937" s="9" t="s">
        <v>1461</v>
      </c>
      <c r="D937" s="11" t="s">
        <v>1691</v>
      </c>
      <c r="E937" s="9">
        <v>9.710557812435E12</v>
      </c>
      <c r="F937" s="12" t="s">
        <v>1692</v>
      </c>
      <c r="G937" s="9" t="s">
        <v>80</v>
      </c>
      <c r="H937" s="9" t="s">
        <v>41</v>
      </c>
      <c r="I937" s="13"/>
      <c r="J937" s="13"/>
      <c r="K937" s="14"/>
      <c r="L937" s="13"/>
      <c r="M937" s="14"/>
      <c r="N937" s="15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9">
        <v>936.0</v>
      </c>
      <c r="B938" s="10">
        <v>44037.0</v>
      </c>
      <c r="C938" s="9" t="s">
        <v>1461</v>
      </c>
      <c r="D938" s="11" t="s">
        <v>1693</v>
      </c>
      <c r="E938" s="9">
        <v>9.71551176568E11</v>
      </c>
      <c r="F938" s="12" t="s">
        <v>1694</v>
      </c>
      <c r="G938" s="9" t="s">
        <v>176</v>
      </c>
      <c r="H938" s="9" t="s">
        <v>81</v>
      </c>
      <c r="I938" s="13"/>
      <c r="J938" s="13"/>
      <c r="K938" s="14"/>
      <c r="L938" s="13"/>
      <c r="M938" s="14"/>
      <c r="N938" s="15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9">
        <v>937.0</v>
      </c>
      <c r="B939" s="10">
        <v>44037.0</v>
      </c>
      <c r="C939" s="9" t="s">
        <v>1461</v>
      </c>
      <c r="D939" s="11" t="s">
        <v>1695</v>
      </c>
      <c r="E939" s="9">
        <v>9.710505424547E12</v>
      </c>
      <c r="F939" s="12" t="s">
        <v>1696</v>
      </c>
      <c r="G939" s="9" t="s">
        <v>176</v>
      </c>
      <c r="H939" s="9" t="s">
        <v>41</v>
      </c>
      <c r="I939" s="13"/>
      <c r="J939" s="13"/>
      <c r="K939" s="14"/>
      <c r="L939" s="13"/>
      <c r="M939" s="14"/>
      <c r="N939" s="15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9">
        <v>938.0</v>
      </c>
      <c r="B940" s="10">
        <v>44037.0</v>
      </c>
      <c r="C940" s="9" t="s">
        <v>1461</v>
      </c>
      <c r="D940" s="11" t="s">
        <v>1697</v>
      </c>
      <c r="E940" s="9">
        <v>9.710565085138E12</v>
      </c>
      <c r="F940" s="12" t="s">
        <v>1698</v>
      </c>
      <c r="G940" s="9" t="s">
        <v>52</v>
      </c>
      <c r="H940" s="9" t="s">
        <v>73</v>
      </c>
      <c r="I940" s="13"/>
      <c r="J940" s="13"/>
      <c r="K940" s="14"/>
      <c r="L940" s="13"/>
      <c r="M940" s="14"/>
      <c r="N940" s="15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9">
        <v>939.0</v>
      </c>
      <c r="B941" s="10">
        <v>44037.0</v>
      </c>
      <c r="C941" s="9" t="s">
        <v>1461</v>
      </c>
      <c r="D941" s="11" t="s">
        <v>1699</v>
      </c>
      <c r="E941" s="9">
        <v>9.71055200273E12</v>
      </c>
      <c r="F941" s="12" t="s">
        <v>1700</v>
      </c>
      <c r="G941" s="9" t="s">
        <v>52</v>
      </c>
      <c r="H941" s="9" t="s">
        <v>17</v>
      </c>
      <c r="I941" s="13"/>
      <c r="J941" s="13"/>
      <c r="K941" s="14"/>
      <c r="L941" s="13"/>
      <c r="M941" s="14"/>
      <c r="N941" s="15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9">
        <v>940.0</v>
      </c>
      <c r="B942" s="10">
        <v>44037.0</v>
      </c>
      <c r="C942" s="9" t="s">
        <v>1461</v>
      </c>
      <c r="D942" s="11" t="s">
        <v>887</v>
      </c>
      <c r="E942" s="9">
        <v>9.710557178573E12</v>
      </c>
      <c r="F942" s="12" t="s">
        <v>1701</v>
      </c>
      <c r="G942" s="9" t="s">
        <v>52</v>
      </c>
      <c r="H942" s="9" t="s">
        <v>21</v>
      </c>
      <c r="I942" s="13"/>
      <c r="J942" s="13"/>
      <c r="K942" s="14"/>
      <c r="L942" s="13"/>
      <c r="M942" s="14"/>
      <c r="N942" s="15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9">
        <v>941.0</v>
      </c>
      <c r="B943" s="10">
        <v>44037.0</v>
      </c>
      <c r="C943" s="9" t="s">
        <v>1461</v>
      </c>
      <c r="D943" s="11" t="s">
        <v>1702</v>
      </c>
      <c r="E943" s="9">
        <v>9.71555771488E11</v>
      </c>
      <c r="F943" s="12" t="s">
        <v>1703</v>
      </c>
      <c r="G943" s="9" t="s">
        <v>52</v>
      </c>
      <c r="H943" s="9" t="s">
        <v>73</v>
      </c>
      <c r="I943" s="13"/>
      <c r="J943" s="13"/>
      <c r="K943" s="14"/>
      <c r="L943" s="13"/>
      <c r="M943" s="14"/>
      <c r="N943" s="15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9">
        <v>942.0</v>
      </c>
      <c r="B944" s="10">
        <v>44037.0</v>
      </c>
      <c r="C944" s="9" t="s">
        <v>1461</v>
      </c>
      <c r="D944" s="11" t="s">
        <v>1704</v>
      </c>
      <c r="E944" s="9">
        <v>9.71562444115E11</v>
      </c>
      <c r="F944" s="12" t="s">
        <v>1705</v>
      </c>
      <c r="G944" s="9" t="s">
        <v>627</v>
      </c>
      <c r="H944" s="9" t="s">
        <v>73</v>
      </c>
      <c r="I944" s="13"/>
      <c r="J944" s="13"/>
      <c r="K944" s="14"/>
      <c r="L944" s="13"/>
      <c r="M944" s="14"/>
      <c r="N944" s="15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9">
        <v>943.0</v>
      </c>
      <c r="B945" s="10">
        <v>44037.0</v>
      </c>
      <c r="C945" s="9" t="s">
        <v>1461</v>
      </c>
      <c r="D945" s="11" t="s">
        <v>1706</v>
      </c>
      <c r="E945" s="9">
        <v>9.71052906297E12</v>
      </c>
      <c r="F945" s="12" t="s">
        <v>1707</v>
      </c>
      <c r="G945" s="9" t="s">
        <v>400</v>
      </c>
      <c r="H945" s="9" t="s">
        <v>337</v>
      </c>
      <c r="I945" s="13"/>
      <c r="J945" s="13"/>
      <c r="K945" s="14"/>
      <c r="L945" s="13"/>
      <c r="M945" s="14"/>
      <c r="N945" s="15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9">
        <v>944.0</v>
      </c>
      <c r="B946" s="10">
        <v>44037.0</v>
      </c>
      <c r="C946" s="9" t="s">
        <v>1461</v>
      </c>
      <c r="D946" s="11" t="s">
        <v>1708</v>
      </c>
      <c r="E946" s="9">
        <v>9.71503432044E11</v>
      </c>
      <c r="F946" s="12" t="s">
        <v>1709</v>
      </c>
      <c r="G946" s="9" t="s">
        <v>400</v>
      </c>
      <c r="H946" s="9" t="s">
        <v>17</v>
      </c>
      <c r="I946" s="13"/>
      <c r="J946" s="13"/>
      <c r="K946" s="14"/>
      <c r="L946" s="13"/>
      <c r="M946" s="14"/>
      <c r="N946" s="15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9">
        <v>945.0</v>
      </c>
      <c r="B947" s="10">
        <v>44037.0</v>
      </c>
      <c r="C947" s="9" t="s">
        <v>1461</v>
      </c>
      <c r="D947" s="11" t="s">
        <v>1710</v>
      </c>
      <c r="E947" s="9">
        <v>9.71555000393E11</v>
      </c>
      <c r="F947" s="12" t="s">
        <v>1711</v>
      </c>
      <c r="G947" s="9" t="s">
        <v>400</v>
      </c>
      <c r="H947" s="9" t="s">
        <v>17</v>
      </c>
      <c r="I947" s="13"/>
      <c r="J947" s="13"/>
      <c r="K947" s="14"/>
      <c r="L947" s="13"/>
      <c r="M947" s="14"/>
      <c r="N947" s="15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9">
        <v>946.0</v>
      </c>
      <c r="B948" s="10">
        <v>44037.0</v>
      </c>
      <c r="C948" s="9" t="s">
        <v>1461</v>
      </c>
      <c r="D948" s="11" t="s">
        <v>1712</v>
      </c>
      <c r="E948" s="9">
        <v>9.710544848686E12</v>
      </c>
      <c r="F948" s="12" t="s">
        <v>1713</v>
      </c>
      <c r="G948" s="9" t="s">
        <v>400</v>
      </c>
      <c r="H948" s="9" t="s">
        <v>654</v>
      </c>
      <c r="I948" s="13"/>
      <c r="J948" s="13"/>
      <c r="K948" s="14"/>
      <c r="L948" s="13"/>
      <c r="M948" s="14"/>
      <c r="N948" s="15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9">
        <v>947.0</v>
      </c>
      <c r="B949" s="10">
        <v>44037.0</v>
      </c>
      <c r="C949" s="9" t="s">
        <v>1461</v>
      </c>
      <c r="D949" s="11" t="s">
        <v>1714</v>
      </c>
      <c r="E949" s="9">
        <v>9.710502995572E12</v>
      </c>
      <c r="F949" s="12" t="s">
        <v>1715</v>
      </c>
      <c r="G949" s="9" t="s">
        <v>60</v>
      </c>
      <c r="H949" s="9" t="s">
        <v>21</v>
      </c>
      <c r="I949" s="13"/>
      <c r="J949" s="13"/>
      <c r="K949" s="14"/>
      <c r="L949" s="13"/>
      <c r="M949" s="14"/>
      <c r="N949" s="15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9">
        <v>948.0</v>
      </c>
      <c r="B950" s="10">
        <v>44037.0</v>
      </c>
      <c r="C950" s="9" t="s">
        <v>1461</v>
      </c>
      <c r="D950" s="11" t="s">
        <v>1716</v>
      </c>
      <c r="E950" s="9">
        <v>9.710505912145E12</v>
      </c>
      <c r="F950" s="12" t="s">
        <v>1717</v>
      </c>
      <c r="G950" s="9" t="s">
        <v>35</v>
      </c>
      <c r="H950" s="9" t="s">
        <v>206</v>
      </c>
      <c r="I950" s="13"/>
      <c r="J950" s="13"/>
      <c r="K950" s="14"/>
      <c r="L950" s="13"/>
      <c r="M950" s="14"/>
      <c r="N950" s="15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9">
        <v>949.0</v>
      </c>
      <c r="B951" s="10">
        <v>44037.0</v>
      </c>
      <c r="C951" s="9" t="s">
        <v>1461</v>
      </c>
      <c r="D951" s="11" t="s">
        <v>1718</v>
      </c>
      <c r="E951" s="9">
        <v>9.7156247262E11</v>
      </c>
      <c r="F951" s="12" t="s">
        <v>1719</v>
      </c>
      <c r="G951" s="9" t="s">
        <v>80</v>
      </c>
      <c r="H951" s="9" t="s">
        <v>81</v>
      </c>
      <c r="I951" s="13"/>
      <c r="J951" s="13"/>
      <c r="K951" s="14"/>
      <c r="L951" s="13"/>
      <c r="M951" s="14"/>
      <c r="N951" s="15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9">
        <v>950.0</v>
      </c>
      <c r="B952" s="10">
        <v>44037.0</v>
      </c>
      <c r="C952" s="9" t="s">
        <v>1461</v>
      </c>
      <c r="D952" s="11" t="s">
        <v>1720</v>
      </c>
      <c r="E952" s="9">
        <v>9.710503538623E12</v>
      </c>
      <c r="F952" s="12" t="s">
        <v>1721</v>
      </c>
      <c r="G952" s="9" t="s">
        <v>60</v>
      </c>
      <c r="H952" s="9" t="s">
        <v>41</v>
      </c>
      <c r="I952" s="13"/>
      <c r="J952" s="13"/>
      <c r="K952" s="14"/>
      <c r="L952" s="13"/>
      <c r="M952" s="14"/>
      <c r="N952" s="15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9">
        <v>951.0</v>
      </c>
      <c r="B953" s="10">
        <v>44037.0</v>
      </c>
      <c r="C953" s="9" t="s">
        <v>1461</v>
      </c>
      <c r="D953" s="11" t="s">
        <v>1722</v>
      </c>
      <c r="E953" s="9">
        <v>9.710556688358E12</v>
      </c>
      <c r="F953" s="12" t="s">
        <v>1723</v>
      </c>
      <c r="G953" s="9" t="s">
        <v>60</v>
      </c>
      <c r="H953" s="9" t="s">
        <v>654</v>
      </c>
      <c r="I953" s="13"/>
      <c r="J953" s="13"/>
      <c r="K953" s="14"/>
      <c r="L953" s="13"/>
      <c r="M953" s="14"/>
      <c r="N953" s="15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9">
        <v>952.0</v>
      </c>
      <c r="B954" s="10">
        <v>44037.0</v>
      </c>
      <c r="C954" s="9" t="s">
        <v>1461</v>
      </c>
      <c r="D954" s="11" t="s">
        <v>1724</v>
      </c>
      <c r="E954" s="9">
        <v>9.710585769566E12</v>
      </c>
      <c r="F954" s="12" t="s">
        <v>1725</v>
      </c>
      <c r="G954" s="9" t="s">
        <v>176</v>
      </c>
      <c r="H954" s="9" t="s">
        <v>41</v>
      </c>
      <c r="I954" s="13"/>
      <c r="J954" s="13"/>
      <c r="K954" s="14"/>
      <c r="L954" s="13"/>
      <c r="M954" s="14"/>
      <c r="N954" s="15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9">
        <v>953.0</v>
      </c>
      <c r="B955" s="10">
        <v>44037.0</v>
      </c>
      <c r="C955" s="9" t="s">
        <v>1461</v>
      </c>
      <c r="D955" s="11" t="s">
        <v>1726</v>
      </c>
      <c r="E955" s="9">
        <v>9.710505057077E12</v>
      </c>
      <c r="F955" s="12" t="s">
        <v>1727</v>
      </c>
      <c r="G955" s="9" t="s">
        <v>60</v>
      </c>
      <c r="H955" s="9" t="s">
        <v>81</v>
      </c>
      <c r="I955" s="13"/>
      <c r="J955" s="13"/>
      <c r="K955" s="14"/>
      <c r="L955" s="13"/>
      <c r="M955" s="14"/>
      <c r="N955" s="15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9">
        <v>954.0</v>
      </c>
      <c r="B956" s="10">
        <v>44037.0</v>
      </c>
      <c r="C956" s="9" t="s">
        <v>1461</v>
      </c>
      <c r="D956" s="11" t="s">
        <v>1728</v>
      </c>
      <c r="E956" s="9">
        <v>9.710501649399E12</v>
      </c>
      <c r="F956" s="12" t="s">
        <v>1729</v>
      </c>
      <c r="G956" s="9" t="s">
        <v>134</v>
      </c>
      <c r="H956" s="9" t="s">
        <v>337</v>
      </c>
      <c r="I956" s="13"/>
      <c r="J956" s="13"/>
      <c r="K956" s="14"/>
      <c r="L956" s="13"/>
      <c r="M956" s="14"/>
      <c r="N956" s="15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9">
        <v>955.0</v>
      </c>
      <c r="B957" s="10">
        <v>44037.0</v>
      </c>
      <c r="C957" s="9" t="s">
        <v>1461</v>
      </c>
      <c r="D957" s="11" t="s">
        <v>1730</v>
      </c>
      <c r="E957" s="9">
        <v>9.710566209493E12</v>
      </c>
      <c r="F957" s="12" t="s">
        <v>1731</v>
      </c>
      <c r="G957" s="9" t="s">
        <v>60</v>
      </c>
      <c r="H957" s="9" t="s">
        <v>41</v>
      </c>
      <c r="I957" s="13"/>
      <c r="J957" s="13"/>
      <c r="K957" s="14"/>
      <c r="L957" s="13"/>
      <c r="M957" s="14"/>
      <c r="N957" s="15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9">
        <v>956.0</v>
      </c>
      <c r="B958" s="10">
        <v>44037.0</v>
      </c>
      <c r="C958" s="9" t="s">
        <v>1461</v>
      </c>
      <c r="D958" s="11" t="s">
        <v>1732</v>
      </c>
      <c r="E958" s="9">
        <v>9.710503129989E12</v>
      </c>
      <c r="F958" s="12" t="s">
        <v>1733</v>
      </c>
      <c r="G958" s="9" t="s">
        <v>134</v>
      </c>
      <c r="H958" s="9" t="s">
        <v>41</v>
      </c>
      <c r="I958" s="13"/>
      <c r="J958" s="13"/>
      <c r="K958" s="14"/>
      <c r="L958" s="13"/>
      <c r="M958" s="14"/>
      <c r="N958" s="15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9">
        <v>957.0</v>
      </c>
      <c r="B959" s="10">
        <v>44037.0</v>
      </c>
      <c r="C959" s="9" t="s">
        <v>1461</v>
      </c>
      <c r="D959" s="11" t="s">
        <v>1734</v>
      </c>
      <c r="E959" s="9">
        <v>9.71501765433E11</v>
      </c>
      <c r="F959" s="12" t="s">
        <v>1735</v>
      </c>
      <c r="G959" s="9" t="s">
        <v>176</v>
      </c>
      <c r="H959" s="9" t="s">
        <v>41</v>
      </c>
      <c r="I959" s="13"/>
      <c r="J959" s="13"/>
      <c r="K959" s="14"/>
      <c r="L959" s="13"/>
      <c r="M959" s="14"/>
      <c r="N959" s="15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9">
        <v>958.0</v>
      </c>
      <c r="B960" s="10">
        <v>44037.0</v>
      </c>
      <c r="C960" s="9" t="s">
        <v>1461</v>
      </c>
      <c r="D960" s="11" t="s">
        <v>1736</v>
      </c>
      <c r="E960" s="9">
        <v>9.710506278684E12</v>
      </c>
      <c r="F960" s="12" t="s">
        <v>1737</v>
      </c>
      <c r="G960" s="9" t="s">
        <v>176</v>
      </c>
      <c r="H960" s="9" t="s">
        <v>41</v>
      </c>
      <c r="I960" s="13"/>
      <c r="J960" s="13"/>
      <c r="K960" s="14"/>
      <c r="L960" s="13"/>
      <c r="M960" s="14"/>
      <c r="N960" s="15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9">
        <v>959.0</v>
      </c>
      <c r="B961" s="10">
        <v>44037.0</v>
      </c>
      <c r="C961" s="9" t="s">
        <v>1461</v>
      </c>
      <c r="D961" s="11" t="s">
        <v>1738</v>
      </c>
      <c r="E961" s="9">
        <v>9.710554170416E12</v>
      </c>
      <c r="F961" s="12" t="s">
        <v>1739</v>
      </c>
      <c r="G961" s="9" t="s">
        <v>134</v>
      </c>
      <c r="H961" s="9" t="s">
        <v>17</v>
      </c>
      <c r="I961" s="13"/>
      <c r="J961" s="13"/>
      <c r="K961" s="14"/>
      <c r="L961" s="13"/>
      <c r="M961" s="14"/>
      <c r="N961" s="15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9">
        <v>960.0</v>
      </c>
      <c r="B962" s="10">
        <v>44037.0</v>
      </c>
      <c r="C962" s="9" t="s">
        <v>1461</v>
      </c>
      <c r="D962" s="11" t="s">
        <v>1035</v>
      </c>
      <c r="E962" s="9">
        <v>9.71050294811E12</v>
      </c>
      <c r="F962" s="12" t="s">
        <v>1740</v>
      </c>
      <c r="G962" s="9" t="s">
        <v>80</v>
      </c>
      <c r="H962" s="9" t="s">
        <v>81</v>
      </c>
      <c r="I962" s="13"/>
      <c r="J962" s="13"/>
      <c r="K962" s="14"/>
      <c r="L962" s="13"/>
      <c r="M962" s="14"/>
      <c r="N962" s="15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9">
        <v>961.0</v>
      </c>
      <c r="B963" s="10">
        <v>44037.0</v>
      </c>
      <c r="C963" s="9" t="s">
        <v>47</v>
      </c>
      <c r="D963" s="11" t="s">
        <v>1741</v>
      </c>
      <c r="E963" s="17">
        <f>+971567987070</f>
        <v>971567987070</v>
      </c>
      <c r="F963" s="12" t="s">
        <v>1742</v>
      </c>
      <c r="G963" s="9" t="s">
        <v>176</v>
      </c>
      <c r="H963" s="9" t="s">
        <v>17</v>
      </c>
      <c r="I963" s="13"/>
      <c r="J963" s="13"/>
      <c r="K963" s="14"/>
      <c r="L963" s="13"/>
      <c r="M963" s="14"/>
      <c r="N963" s="15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9">
        <v>962.0</v>
      </c>
      <c r="B964" s="10">
        <v>44037.0</v>
      </c>
      <c r="C964" s="9" t="s">
        <v>1670</v>
      </c>
      <c r="D964" s="11" t="s">
        <v>1743</v>
      </c>
      <c r="E964" s="17">
        <f>+9710565785633</f>
        <v>9710565785633</v>
      </c>
      <c r="F964" s="12" t="s">
        <v>1744</v>
      </c>
      <c r="G964" s="9" t="s">
        <v>80</v>
      </c>
      <c r="H964" s="9" t="s">
        <v>81</v>
      </c>
      <c r="I964" s="13"/>
      <c r="J964" s="13"/>
      <c r="K964" s="14"/>
      <c r="L964" s="13"/>
      <c r="M964" s="14"/>
      <c r="N964" s="15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9">
        <v>963.0</v>
      </c>
      <c r="B965" s="10">
        <v>44037.0</v>
      </c>
      <c r="C965" s="9" t="s">
        <v>47</v>
      </c>
      <c r="D965" s="11" t="s">
        <v>1745</v>
      </c>
      <c r="E965" s="17">
        <f>+971585121973</f>
        <v>971585121973</v>
      </c>
      <c r="F965" s="12" t="s">
        <v>1746</v>
      </c>
      <c r="G965" s="9" t="s">
        <v>28</v>
      </c>
      <c r="H965" s="9" t="s">
        <v>13</v>
      </c>
      <c r="I965" s="13"/>
      <c r="J965" s="13"/>
      <c r="K965" s="14"/>
      <c r="L965" s="13"/>
      <c r="M965" s="14"/>
      <c r="N965" s="15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9">
        <v>964.0</v>
      </c>
      <c r="B966" s="10">
        <v>44037.0</v>
      </c>
      <c r="C966" s="9" t="s">
        <v>47</v>
      </c>
      <c r="D966" s="11" t="s">
        <v>1747</v>
      </c>
      <c r="E966" s="17">
        <f>+201117739990</f>
        <v>201117739990</v>
      </c>
      <c r="F966" s="12" t="s">
        <v>1748</v>
      </c>
      <c r="G966" s="9" t="s">
        <v>28</v>
      </c>
      <c r="H966" s="9" t="s">
        <v>13</v>
      </c>
      <c r="I966" s="13"/>
      <c r="J966" s="13"/>
      <c r="K966" s="14"/>
      <c r="L966" s="13"/>
      <c r="M966" s="14"/>
      <c r="N966" s="15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9">
        <v>965.0</v>
      </c>
      <c r="B967" s="10">
        <v>44037.0</v>
      </c>
      <c r="C967" s="9" t="s">
        <v>1670</v>
      </c>
      <c r="D967" s="11" t="s">
        <v>1749</v>
      </c>
      <c r="E967" s="17">
        <f>+971565708562</f>
        <v>971565708562</v>
      </c>
      <c r="F967" s="12" t="s">
        <v>1750</v>
      </c>
      <c r="G967" s="9" t="s">
        <v>400</v>
      </c>
      <c r="H967" s="9" t="s">
        <v>17</v>
      </c>
      <c r="I967" s="13"/>
      <c r="J967" s="13"/>
      <c r="K967" s="14"/>
      <c r="L967" s="13"/>
      <c r="M967" s="14"/>
      <c r="N967" s="15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9">
        <v>966.0</v>
      </c>
      <c r="B968" s="10">
        <v>44037.0</v>
      </c>
      <c r="C968" s="9" t="s">
        <v>47</v>
      </c>
      <c r="D968" s="11" t="s">
        <v>1751</v>
      </c>
      <c r="E968" s="17">
        <f>+971503178753</f>
        <v>971503178753</v>
      </c>
      <c r="F968" s="12" t="s">
        <v>1752</v>
      </c>
      <c r="G968" s="9" t="s">
        <v>28</v>
      </c>
      <c r="H968" s="9" t="s">
        <v>13</v>
      </c>
      <c r="I968" s="13"/>
      <c r="J968" s="13"/>
      <c r="K968" s="14"/>
      <c r="L968" s="13"/>
      <c r="M968" s="14"/>
      <c r="N968" s="15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9">
        <v>967.0</v>
      </c>
      <c r="B969" s="10">
        <v>44037.0</v>
      </c>
      <c r="C969" s="9" t="s">
        <v>1670</v>
      </c>
      <c r="D969" s="11" t="s">
        <v>1753</v>
      </c>
      <c r="E969" s="17">
        <f>+9710552415561</f>
        <v>9710552415561</v>
      </c>
      <c r="F969" s="12" t="s">
        <v>1754</v>
      </c>
      <c r="G969" s="9" t="s">
        <v>400</v>
      </c>
      <c r="H969" s="9" t="s">
        <v>654</v>
      </c>
      <c r="I969" s="13"/>
      <c r="J969" s="13"/>
      <c r="K969" s="14"/>
      <c r="L969" s="13"/>
      <c r="M969" s="14"/>
      <c r="N969" s="15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9">
        <v>968.0</v>
      </c>
      <c r="B970" s="10">
        <v>44037.0</v>
      </c>
      <c r="C970" s="9" t="s">
        <v>1670</v>
      </c>
      <c r="D970" s="11" t="s">
        <v>1755</v>
      </c>
      <c r="E970" s="17">
        <f>+971543933393</f>
        <v>971543933393</v>
      </c>
      <c r="F970" s="12" t="s">
        <v>1756</v>
      </c>
      <c r="G970" s="9" t="s">
        <v>176</v>
      </c>
      <c r="H970" s="9" t="s">
        <v>17</v>
      </c>
      <c r="I970" s="13"/>
      <c r="J970" s="13"/>
      <c r="K970" s="14"/>
      <c r="L970" s="13"/>
      <c r="M970" s="14"/>
      <c r="N970" s="15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9">
        <v>969.0</v>
      </c>
      <c r="B971" s="10">
        <v>44037.0</v>
      </c>
      <c r="C971" s="9" t="s">
        <v>1670</v>
      </c>
      <c r="D971" s="11" t="s">
        <v>1757</v>
      </c>
      <c r="E971" s="17">
        <f>+971504097760</f>
        <v>971504097760</v>
      </c>
      <c r="F971" s="12" t="s">
        <v>1758</v>
      </c>
      <c r="G971" s="9" t="s">
        <v>80</v>
      </c>
      <c r="H971" s="9" t="s">
        <v>17</v>
      </c>
      <c r="I971" s="13"/>
      <c r="J971" s="13"/>
      <c r="K971" s="14"/>
      <c r="L971" s="13"/>
      <c r="M971" s="14"/>
      <c r="N971" s="15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9">
        <v>970.0</v>
      </c>
      <c r="B972" s="10">
        <v>44037.0</v>
      </c>
      <c r="C972" s="9" t="s">
        <v>1759</v>
      </c>
      <c r="D972" s="11" t="s">
        <v>1760</v>
      </c>
      <c r="E972" s="17">
        <f>+971557153023</f>
        <v>971557153023</v>
      </c>
      <c r="F972" s="12" t="s">
        <v>1761</v>
      </c>
      <c r="G972" s="9" t="s">
        <v>176</v>
      </c>
      <c r="H972" s="9" t="s">
        <v>41</v>
      </c>
      <c r="I972" s="13"/>
      <c r="J972" s="13"/>
      <c r="K972" s="14"/>
      <c r="L972" s="13"/>
      <c r="M972" s="14"/>
      <c r="N972" s="15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9">
        <v>971.0</v>
      </c>
      <c r="B973" s="10">
        <v>44037.0</v>
      </c>
      <c r="C973" s="9" t="s">
        <v>1759</v>
      </c>
      <c r="D973" s="11" t="s">
        <v>1762</v>
      </c>
      <c r="E973" s="17">
        <f>+971507521076</f>
        <v>971507521076</v>
      </c>
      <c r="F973" s="12" t="s">
        <v>1763</v>
      </c>
      <c r="G973" s="9" t="s">
        <v>80</v>
      </c>
      <c r="H973" s="9" t="s">
        <v>337</v>
      </c>
      <c r="I973" s="13"/>
      <c r="J973" s="13"/>
      <c r="K973" s="14"/>
      <c r="L973" s="13"/>
      <c r="M973" s="14"/>
      <c r="N973" s="15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9">
        <v>972.0</v>
      </c>
      <c r="B974" s="10">
        <v>44037.0</v>
      </c>
      <c r="C974" s="9" t="s">
        <v>1670</v>
      </c>
      <c r="D974" s="16" t="s">
        <v>1764</v>
      </c>
      <c r="E974" s="17">
        <f>+971529666972</f>
        <v>971529666972</v>
      </c>
      <c r="F974" s="12" t="s">
        <v>1765</v>
      </c>
      <c r="G974" s="9" t="s">
        <v>25</v>
      </c>
      <c r="H974" s="9" t="s">
        <v>13</v>
      </c>
      <c r="I974" s="13"/>
      <c r="J974" s="13"/>
      <c r="K974" s="14"/>
      <c r="L974" s="13"/>
      <c r="M974" s="22"/>
      <c r="N974" s="15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9">
        <v>973.0</v>
      </c>
      <c r="B975" s="10">
        <v>44037.0</v>
      </c>
      <c r="C975" s="9" t="s">
        <v>1759</v>
      </c>
      <c r="D975" s="11" t="s">
        <v>1766</v>
      </c>
      <c r="E975" s="17">
        <f>+971526078888</f>
        <v>971526078888</v>
      </c>
      <c r="F975" s="12" t="s">
        <v>1767</v>
      </c>
      <c r="G975" s="9" t="s">
        <v>12</v>
      </c>
      <c r="H975" s="9" t="s">
        <v>13</v>
      </c>
      <c r="I975" s="13"/>
      <c r="J975" s="13"/>
      <c r="K975" s="14"/>
      <c r="L975" s="13"/>
      <c r="M975" s="14"/>
      <c r="N975" s="15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9">
        <v>974.0</v>
      </c>
      <c r="B976" s="10">
        <v>44037.0</v>
      </c>
      <c r="C976" s="9" t="s">
        <v>1759</v>
      </c>
      <c r="D976" s="11" t="s">
        <v>1768</v>
      </c>
      <c r="E976" s="17">
        <f>+971567549780</f>
        <v>971567549780</v>
      </c>
      <c r="F976" s="12" t="s">
        <v>1769</v>
      </c>
      <c r="G976" s="9" t="s">
        <v>134</v>
      </c>
      <c r="H976" s="9" t="s">
        <v>17</v>
      </c>
      <c r="I976" s="13"/>
      <c r="J976" s="13"/>
      <c r="K976" s="14"/>
      <c r="L976" s="13"/>
      <c r="M976" s="14"/>
      <c r="N976" s="15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9">
        <v>975.0</v>
      </c>
      <c r="B977" s="10">
        <v>44037.0</v>
      </c>
      <c r="C977" s="9" t="s">
        <v>1670</v>
      </c>
      <c r="D977" s="11" t="s">
        <v>1770</v>
      </c>
      <c r="E977" s="17">
        <f>+9710568658747</f>
        <v>9710568658747</v>
      </c>
      <c r="F977" s="12" t="s">
        <v>1771</v>
      </c>
      <c r="G977" s="9" t="s">
        <v>60</v>
      </c>
      <c r="H977" s="9" t="s">
        <v>654</v>
      </c>
      <c r="I977" s="13"/>
      <c r="J977" s="13"/>
      <c r="K977" s="14"/>
      <c r="L977" s="13"/>
      <c r="M977" s="14"/>
      <c r="N977" s="15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9">
        <v>976.0</v>
      </c>
      <c r="B978" s="10">
        <v>44037.0</v>
      </c>
      <c r="C978" s="9" t="s">
        <v>401</v>
      </c>
      <c r="D978" s="16" t="s">
        <v>1772</v>
      </c>
      <c r="E978" s="17">
        <f>+966553850064</f>
        <v>966553850064</v>
      </c>
      <c r="F978" s="12" t="s">
        <v>1773</v>
      </c>
      <c r="G978" s="9" t="s">
        <v>181</v>
      </c>
      <c r="H978" s="9" t="s">
        <v>17</v>
      </c>
      <c r="I978" s="13"/>
      <c r="J978" s="13"/>
      <c r="K978" s="14"/>
      <c r="L978" s="13"/>
      <c r="M978" s="22"/>
      <c r="N978" s="15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9">
        <v>977.0</v>
      </c>
      <c r="B979" s="10">
        <v>44037.0</v>
      </c>
      <c r="C979" s="9" t="s">
        <v>1759</v>
      </c>
      <c r="D979" s="11" t="s">
        <v>1774</v>
      </c>
      <c r="E979" s="17">
        <f>+971506790151</f>
        <v>971506790151</v>
      </c>
      <c r="F979" s="12" t="s">
        <v>1775</v>
      </c>
      <c r="G979" s="9" t="s">
        <v>60</v>
      </c>
      <c r="H979" s="9" t="s">
        <v>81</v>
      </c>
      <c r="I979" s="13"/>
      <c r="J979" s="13"/>
      <c r="K979" s="14"/>
      <c r="L979" s="13"/>
      <c r="M979" s="14"/>
      <c r="N979" s="15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9">
        <v>978.0</v>
      </c>
      <c r="B980" s="10">
        <v>44036.0</v>
      </c>
      <c r="C980" s="9" t="s">
        <v>47</v>
      </c>
      <c r="D980" s="11" t="s">
        <v>1776</v>
      </c>
      <c r="E980" s="17">
        <f>+971569573171</f>
        <v>971569573171</v>
      </c>
      <c r="F980" s="12" t="s">
        <v>1777</v>
      </c>
      <c r="G980" s="9" t="s">
        <v>28</v>
      </c>
      <c r="H980" s="9" t="s">
        <v>13</v>
      </c>
      <c r="I980" s="13"/>
      <c r="J980" s="13"/>
      <c r="K980" s="14"/>
      <c r="L980" s="13"/>
      <c r="M980" s="14"/>
      <c r="N980" s="15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9">
        <v>979.0</v>
      </c>
      <c r="B981" s="18">
        <v>44036.0</v>
      </c>
      <c r="C981" s="19" t="s">
        <v>47</v>
      </c>
      <c r="D981" s="11" t="s">
        <v>1778</v>
      </c>
      <c r="E981" s="24">
        <f>+971585881819</f>
        <v>971585881819</v>
      </c>
      <c r="F981" s="12" t="s">
        <v>1779</v>
      </c>
      <c r="G981" s="19" t="s">
        <v>627</v>
      </c>
      <c r="H981" s="19" t="s">
        <v>17</v>
      </c>
      <c r="I981" s="13"/>
      <c r="J981" s="13"/>
      <c r="K981" s="20"/>
      <c r="L981" s="13"/>
      <c r="M981" s="20"/>
      <c r="N981" s="21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9">
        <v>980.0</v>
      </c>
      <c r="B982" s="10">
        <v>44036.0</v>
      </c>
      <c r="C982" s="9" t="s">
        <v>47</v>
      </c>
      <c r="D982" s="11" t="s">
        <v>1780</v>
      </c>
      <c r="E982" s="17">
        <f>+971556323977</f>
        <v>971556323977</v>
      </c>
      <c r="F982" s="12" t="s">
        <v>1781</v>
      </c>
      <c r="G982" s="9" t="s">
        <v>627</v>
      </c>
      <c r="H982" s="9" t="s">
        <v>17</v>
      </c>
      <c r="I982" s="13"/>
      <c r="J982" s="13"/>
      <c r="K982" s="14"/>
      <c r="L982" s="13"/>
      <c r="M982" s="14"/>
      <c r="N982" s="15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9">
        <v>981.0</v>
      </c>
      <c r="B983" s="10">
        <v>44036.0</v>
      </c>
      <c r="C983" s="9" t="s">
        <v>47</v>
      </c>
      <c r="D983" s="11" t="s">
        <v>1782</v>
      </c>
      <c r="E983" s="17">
        <f>+971564462125</f>
        <v>971564462125</v>
      </c>
      <c r="F983" s="12" t="s">
        <v>1783</v>
      </c>
      <c r="G983" s="9" t="s">
        <v>28</v>
      </c>
      <c r="H983" s="9" t="s">
        <v>13</v>
      </c>
      <c r="I983" s="13"/>
      <c r="J983" s="13"/>
      <c r="K983" s="14"/>
      <c r="L983" s="13"/>
      <c r="M983" s="14"/>
      <c r="N983" s="15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9">
        <v>982.0</v>
      </c>
      <c r="B984" s="10">
        <v>44036.0</v>
      </c>
      <c r="C984" s="9" t="s">
        <v>1670</v>
      </c>
      <c r="D984" s="11" t="s">
        <v>1784</v>
      </c>
      <c r="E984" s="17">
        <f>+9710565362249</f>
        <v>9710565362249</v>
      </c>
      <c r="F984" s="12" t="s">
        <v>1785</v>
      </c>
      <c r="G984" s="9" t="s">
        <v>80</v>
      </c>
      <c r="H984" s="9" t="s">
        <v>41</v>
      </c>
      <c r="I984" s="13"/>
      <c r="J984" s="13"/>
      <c r="K984" s="14"/>
      <c r="L984" s="13"/>
      <c r="M984" s="14"/>
      <c r="N984" s="15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9">
        <v>983.0</v>
      </c>
      <c r="B985" s="10">
        <v>44036.0</v>
      </c>
      <c r="C985" s="9" t="s">
        <v>47</v>
      </c>
      <c r="D985" s="11" t="s">
        <v>1786</v>
      </c>
      <c r="E985" s="9" t="s">
        <v>410</v>
      </c>
      <c r="F985" s="9" t="s">
        <v>410</v>
      </c>
      <c r="G985" s="9" t="s">
        <v>432</v>
      </c>
      <c r="H985" s="9" t="s">
        <v>17</v>
      </c>
      <c r="I985" s="13"/>
      <c r="J985" s="13"/>
      <c r="K985" s="14"/>
      <c r="L985" s="13"/>
      <c r="M985" s="14"/>
      <c r="N985" s="15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9">
        <v>984.0</v>
      </c>
      <c r="B986" s="10">
        <v>44036.0</v>
      </c>
      <c r="C986" s="9" t="s">
        <v>1670</v>
      </c>
      <c r="D986" s="11" t="s">
        <v>1787</v>
      </c>
      <c r="E986" s="17">
        <f>+919555555555</f>
        <v>919555555555</v>
      </c>
      <c r="F986" s="12" t="s">
        <v>1788</v>
      </c>
      <c r="G986" s="9" t="s">
        <v>176</v>
      </c>
      <c r="H986" s="9" t="s">
        <v>41</v>
      </c>
      <c r="I986" s="13"/>
      <c r="J986" s="13"/>
      <c r="K986" s="14"/>
      <c r="L986" s="13"/>
      <c r="M986" s="14"/>
      <c r="N986" s="15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9">
        <v>985.0</v>
      </c>
      <c r="B987" s="10">
        <v>44036.0</v>
      </c>
      <c r="C987" s="9" t="s">
        <v>1670</v>
      </c>
      <c r="D987" s="11" t="s">
        <v>1789</v>
      </c>
      <c r="E987" s="17">
        <f>+971501237603</f>
        <v>971501237603</v>
      </c>
      <c r="F987" s="12" t="s">
        <v>1790</v>
      </c>
      <c r="G987" s="9" t="s">
        <v>80</v>
      </c>
      <c r="H987" s="9" t="s">
        <v>81</v>
      </c>
      <c r="I987" s="13"/>
      <c r="J987" s="13"/>
      <c r="K987" s="14"/>
      <c r="L987" s="13"/>
      <c r="M987" s="14"/>
      <c r="N987" s="15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9">
        <v>986.0</v>
      </c>
      <c r="B988" s="10">
        <v>44036.0</v>
      </c>
      <c r="C988" s="9" t="s">
        <v>401</v>
      </c>
      <c r="D988" s="16" t="s">
        <v>1791</v>
      </c>
      <c r="E988" s="17">
        <f>+966541118373</f>
        <v>966541118373</v>
      </c>
      <c r="F988" s="12" t="s">
        <v>1792</v>
      </c>
      <c r="G988" s="9" t="s">
        <v>176</v>
      </c>
      <c r="H988" s="9" t="s">
        <v>41</v>
      </c>
      <c r="I988" s="13"/>
      <c r="J988" s="13"/>
      <c r="K988" s="14"/>
      <c r="L988" s="13"/>
      <c r="M988" s="22"/>
      <c r="N988" s="15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9">
        <v>987.0</v>
      </c>
      <c r="B989" s="10">
        <v>44036.0</v>
      </c>
      <c r="C989" s="9" t="s">
        <v>1759</v>
      </c>
      <c r="D989" s="11" t="s">
        <v>1793</v>
      </c>
      <c r="E989" s="17">
        <f>+971555797214</f>
        <v>971555797214</v>
      </c>
      <c r="F989" s="12" t="s">
        <v>1794</v>
      </c>
      <c r="G989" s="9" t="s">
        <v>80</v>
      </c>
      <c r="H989" s="9" t="s">
        <v>41</v>
      </c>
      <c r="I989" s="13"/>
      <c r="J989" s="13"/>
      <c r="K989" s="14"/>
      <c r="L989" s="13"/>
      <c r="M989" s="14"/>
      <c r="N989" s="15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9">
        <v>988.0</v>
      </c>
      <c r="B990" s="10">
        <v>44036.0</v>
      </c>
      <c r="C990" s="9" t="s">
        <v>1759</v>
      </c>
      <c r="D990" s="11" t="s">
        <v>899</v>
      </c>
      <c r="E990" s="17">
        <f>+971528209890</f>
        <v>971528209890</v>
      </c>
      <c r="F990" s="12" t="s">
        <v>1795</v>
      </c>
      <c r="G990" s="9" t="s">
        <v>80</v>
      </c>
      <c r="H990" s="9" t="s">
        <v>81</v>
      </c>
      <c r="I990" s="13"/>
      <c r="J990" s="13"/>
      <c r="K990" s="14"/>
      <c r="L990" s="13"/>
      <c r="M990" s="14"/>
      <c r="N990" s="15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9">
        <v>989.0</v>
      </c>
      <c r="B991" s="10">
        <v>44036.0</v>
      </c>
      <c r="C991" s="9" t="s">
        <v>1670</v>
      </c>
      <c r="D991" s="11" t="s">
        <v>1796</v>
      </c>
      <c r="E991" s="17">
        <f>+923027446267</f>
        <v>923027446267</v>
      </c>
      <c r="F991" s="12" t="s">
        <v>1797</v>
      </c>
      <c r="G991" s="9" t="s">
        <v>52</v>
      </c>
      <c r="H991" s="9" t="s">
        <v>17</v>
      </c>
      <c r="I991" s="13"/>
      <c r="J991" s="13"/>
      <c r="K991" s="14"/>
      <c r="L991" s="13"/>
      <c r="M991" s="14"/>
      <c r="N991" s="15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9">
        <v>990.0</v>
      </c>
      <c r="B992" s="10">
        <v>44036.0</v>
      </c>
      <c r="C992" s="9" t="s">
        <v>401</v>
      </c>
      <c r="D992" s="16" t="s">
        <v>1798</v>
      </c>
      <c r="E992" s="17">
        <f>+966532967321</f>
        <v>966532967321</v>
      </c>
      <c r="F992" s="12" t="s">
        <v>1799</v>
      </c>
      <c r="G992" s="9" t="s">
        <v>184</v>
      </c>
      <c r="H992" s="9" t="s">
        <v>385</v>
      </c>
      <c r="I992" s="13"/>
      <c r="J992" s="13"/>
      <c r="K992" s="14"/>
      <c r="L992" s="13"/>
      <c r="M992" s="22"/>
      <c r="N992" s="15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9">
        <v>991.0</v>
      </c>
      <c r="B993" s="10">
        <v>44036.0</v>
      </c>
      <c r="C993" s="9" t="s">
        <v>401</v>
      </c>
      <c r="D993" s="16" t="s">
        <v>1800</v>
      </c>
      <c r="E993" s="17">
        <f>+966500208641</f>
        <v>966500208641</v>
      </c>
      <c r="F993" s="12" t="s">
        <v>1801</v>
      </c>
      <c r="G993" s="9" t="s">
        <v>176</v>
      </c>
      <c r="H993" s="9" t="s">
        <v>41</v>
      </c>
      <c r="I993" s="13"/>
      <c r="J993" s="13"/>
      <c r="K993" s="14"/>
      <c r="L993" s="13"/>
      <c r="M993" s="22"/>
      <c r="N993" s="15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9">
        <v>992.0</v>
      </c>
      <c r="B994" s="10">
        <v>44036.0</v>
      </c>
      <c r="C994" s="9" t="s">
        <v>401</v>
      </c>
      <c r="D994" s="11" t="s">
        <v>1802</v>
      </c>
      <c r="E994" s="17">
        <f>+9660544622231</f>
        <v>9660544622231</v>
      </c>
      <c r="F994" s="12" t="s">
        <v>1803</v>
      </c>
      <c r="G994" s="9" t="s">
        <v>80</v>
      </c>
      <c r="H994" s="9" t="s">
        <v>41</v>
      </c>
      <c r="I994" s="13"/>
      <c r="J994" s="13"/>
      <c r="K994" s="14"/>
      <c r="L994" s="13"/>
      <c r="M994" s="14"/>
      <c r="N994" s="15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9">
        <v>993.0</v>
      </c>
      <c r="B995" s="10">
        <v>44035.0</v>
      </c>
      <c r="C995" s="9" t="s">
        <v>1670</v>
      </c>
      <c r="D995" s="11" t="s">
        <v>1804</v>
      </c>
      <c r="E995" s="17">
        <f>+9710563258098</f>
        <v>9710563258098</v>
      </c>
      <c r="F995" s="12" t="s">
        <v>1805</v>
      </c>
      <c r="G995" s="9" t="s">
        <v>300</v>
      </c>
      <c r="H995" s="9" t="s">
        <v>41</v>
      </c>
      <c r="I995" s="13"/>
      <c r="J995" s="13"/>
      <c r="K995" s="14"/>
      <c r="L995" s="13"/>
      <c r="M995" s="14"/>
      <c r="N995" s="15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>
      <c r="A996" s="9">
        <v>994.0</v>
      </c>
      <c r="B996" s="10">
        <v>44035.0</v>
      </c>
      <c r="C996" s="9" t="s">
        <v>1670</v>
      </c>
      <c r="D996" s="11" t="s">
        <v>1806</v>
      </c>
      <c r="E996" s="17">
        <f>+971556682567</f>
        <v>971556682567</v>
      </c>
      <c r="F996" s="12" t="s">
        <v>1807</v>
      </c>
      <c r="G996" s="9" t="s">
        <v>12</v>
      </c>
      <c r="H996" s="9" t="s">
        <v>17</v>
      </c>
      <c r="I996" s="13"/>
      <c r="J996" s="13"/>
      <c r="K996" s="14"/>
      <c r="L996" s="13"/>
      <c r="M996" s="14"/>
      <c r="N996" s="15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>
      <c r="A997" s="9">
        <v>995.0</v>
      </c>
      <c r="B997" s="10">
        <v>44035.0</v>
      </c>
      <c r="C997" s="9" t="s">
        <v>1670</v>
      </c>
      <c r="D997" s="11" t="s">
        <v>1808</v>
      </c>
      <c r="E997" s="17">
        <f>+9710508170943</f>
        <v>9710508170943</v>
      </c>
      <c r="F997" s="12" t="s">
        <v>1809</v>
      </c>
      <c r="G997" s="9" t="s">
        <v>80</v>
      </c>
      <c r="H997" s="9" t="s">
        <v>41</v>
      </c>
      <c r="I997" s="13"/>
      <c r="J997" s="13"/>
      <c r="K997" s="14"/>
      <c r="L997" s="13"/>
      <c r="M997" s="14"/>
      <c r="N997" s="15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>
      <c r="A998" s="9">
        <v>996.0</v>
      </c>
      <c r="B998" s="10">
        <v>44035.0</v>
      </c>
      <c r="C998" s="9" t="s">
        <v>1670</v>
      </c>
      <c r="D998" s="11" t="s">
        <v>1810</v>
      </c>
      <c r="E998" s="17">
        <f>+9710528974820</f>
        <v>9710528974820</v>
      </c>
      <c r="F998" s="12" t="s">
        <v>1811</v>
      </c>
      <c r="G998" s="9" t="s">
        <v>134</v>
      </c>
      <c r="H998" s="9" t="s">
        <v>17</v>
      </c>
      <c r="I998" s="13"/>
      <c r="J998" s="13"/>
      <c r="K998" s="14"/>
      <c r="L998" s="13"/>
      <c r="M998" s="14"/>
      <c r="N998" s="15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>
      <c r="A999" s="9">
        <v>997.0</v>
      </c>
      <c r="B999" s="10">
        <v>44035.0</v>
      </c>
      <c r="C999" s="9" t="s">
        <v>1461</v>
      </c>
      <c r="D999" s="11" t="s">
        <v>1462</v>
      </c>
      <c r="E999" s="9">
        <v>9.710502605509E12</v>
      </c>
      <c r="F999" s="12" t="s">
        <v>1812</v>
      </c>
      <c r="G999" s="9" t="s">
        <v>176</v>
      </c>
      <c r="H999" s="9" t="s">
        <v>41</v>
      </c>
      <c r="I999" s="13"/>
      <c r="J999" s="13"/>
      <c r="K999" s="14"/>
      <c r="L999" s="13"/>
      <c r="M999" s="14"/>
      <c r="N999" s="15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>
      <c r="A1000" s="9">
        <v>998.0</v>
      </c>
      <c r="B1000" s="10">
        <v>44035.0</v>
      </c>
      <c r="C1000" s="9" t="s">
        <v>1461</v>
      </c>
      <c r="D1000" s="11" t="s">
        <v>1813</v>
      </c>
      <c r="E1000" s="9">
        <v>9.710502460171E12</v>
      </c>
      <c r="F1000" s="12" t="s">
        <v>1814</v>
      </c>
      <c r="G1000" s="9" t="s">
        <v>80</v>
      </c>
      <c r="H1000" s="9" t="s">
        <v>17</v>
      </c>
      <c r="I1000" s="13"/>
      <c r="J1000" s="13"/>
      <c r="K1000" s="14"/>
      <c r="L1000" s="13"/>
      <c r="M1000" s="14"/>
      <c r="N1000" s="15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>
      <c r="A1001" s="9">
        <v>999.0</v>
      </c>
      <c r="B1001" s="10">
        <v>44035.0</v>
      </c>
      <c r="C1001" s="9" t="s">
        <v>1461</v>
      </c>
      <c r="D1001" s="11" t="s">
        <v>1815</v>
      </c>
      <c r="E1001" s="9">
        <v>9.71564116433E11</v>
      </c>
      <c r="F1001" s="12" t="s">
        <v>1816</v>
      </c>
      <c r="G1001" s="9" t="s">
        <v>52</v>
      </c>
      <c r="H1001" s="9" t="s">
        <v>73</v>
      </c>
      <c r="I1001" s="13"/>
      <c r="J1001" s="13"/>
      <c r="K1001" s="14"/>
      <c r="L1001" s="13"/>
      <c r="M1001" s="14"/>
      <c r="N1001" s="15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</row>
    <row r="1002">
      <c r="A1002" s="9">
        <v>1000.0</v>
      </c>
      <c r="B1002" s="10">
        <v>44035.0</v>
      </c>
      <c r="C1002" s="9" t="s">
        <v>1461</v>
      </c>
      <c r="D1002" s="11" t="s">
        <v>1817</v>
      </c>
      <c r="E1002" s="9">
        <v>9.71058565107E12</v>
      </c>
      <c r="F1002" s="12" t="s">
        <v>1818</v>
      </c>
      <c r="G1002" s="9" t="s">
        <v>52</v>
      </c>
      <c r="H1002" s="9" t="s">
        <v>654</v>
      </c>
      <c r="I1002" s="13"/>
      <c r="J1002" s="13"/>
      <c r="K1002" s="14"/>
      <c r="L1002" s="13"/>
      <c r="M1002" s="14"/>
      <c r="N1002" s="15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  <row r="1003">
      <c r="A1003" s="9">
        <v>1001.0</v>
      </c>
      <c r="B1003" s="10">
        <v>44035.0</v>
      </c>
      <c r="C1003" s="9" t="s">
        <v>1461</v>
      </c>
      <c r="D1003" s="11" t="s">
        <v>1819</v>
      </c>
      <c r="E1003" s="9">
        <v>9.71523381802E11</v>
      </c>
      <c r="F1003" s="12" t="s">
        <v>1820</v>
      </c>
      <c r="G1003" s="9" t="s">
        <v>80</v>
      </c>
      <c r="H1003" s="9" t="s">
        <v>81</v>
      </c>
      <c r="I1003" s="13"/>
      <c r="J1003" s="13"/>
      <c r="K1003" s="14"/>
      <c r="L1003" s="13"/>
      <c r="M1003" s="14"/>
      <c r="N1003" s="15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</row>
    <row r="1004">
      <c r="A1004" s="9">
        <v>1002.0</v>
      </c>
      <c r="B1004" s="10">
        <v>44035.0</v>
      </c>
      <c r="C1004" s="9" t="s">
        <v>1461</v>
      </c>
      <c r="D1004" s="11" t="s">
        <v>1821</v>
      </c>
      <c r="E1004" s="9">
        <v>9.710559546519E12</v>
      </c>
      <c r="F1004" s="12" t="s">
        <v>1822</v>
      </c>
      <c r="G1004" s="9" t="s">
        <v>1823</v>
      </c>
      <c r="H1004" s="9" t="s">
        <v>13</v>
      </c>
      <c r="I1004" s="13"/>
      <c r="J1004" s="13"/>
      <c r="K1004" s="14"/>
      <c r="L1004" s="13"/>
      <c r="M1004" s="14"/>
      <c r="N1004" s="15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</row>
    <row r="1005">
      <c r="A1005" s="9">
        <v>1003.0</v>
      </c>
      <c r="B1005" s="10">
        <v>44035.0</v>
      </c>
      <c r="C1005" s="9" t="s">
        <v>1461</v>
      </c>
      <c r="D1005" s="11" t="s">
        <v>1824</v>
      </c>
      <c r="E1005" s="9">
        <v>9.710555543516E12</v>
      </c>
      <c r="F1005" s="12" t="s">
        <v>1825</v>
      </c>
      <c r="G1005" s="9" t="s">
        <v>12</v>
      </c>
      <c r="H1005" s="9" t="s">
        <v>73</v>
      </c>
      <c r="I1005" s="13"/>
      <c r="J1005" s="13"/>
      <c r="K1005" s="14"/>
      <c r="L1005" s="13"/>
      <c r="M1005" s="14"/>
      <c r="N1005" s="15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</row>
    <row r="1006">
      <c r="A1006" s="9">
        <v>1004.0</v>
      </c>
      <c r="B1006" s="10">
        <v>44035.0</v>
      </c>
      <c r="C1006" s="9" t="s">
        <v>1461</v>
      </c>
      <c r="D1006" s="11" t="s">
        <v>1826</v>
      </c>
      <c r="E1006" s="9">
        <v>9.7152999444E11</v>
      </c>
      <c r="F1006" s="12" t="s">
        <v>1827</v>
      </c>
      <c r="G1006" s="9" t="s">
        <v>627</v>
      </c>
      <c r="H1006" s="9" t="s">
        <v>17</v>
      </c>
      <c r="I1006" s="13"/>
      <c r="J1006" s="13"/>
      <c r="K1006" s="14"/>
      <c r="L1006" s="13"/>
      <c r="M1006" s="14"/>
      <c r="N1006" s="15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</row>
    <row r="1007">
      <c r="A1007" s="9">
        <v>1005.0</v>
      </c>
      <c r="B1007" s="10">
        <v>44035.0</v>
      </c>
      <c r="C1007" s="9" t="s">
        <v>1461</v>
      </c>
      <c r="D1007" s="11" t="s">
        <v>1828</v>
      </c>
      <c r="E1007" s="9">
        <v>9.71505348812E11</v>
      </c>
      <c r="F1007" s="12" t="s">
        <v>1829</v>
      </c>
      <c r="G1007" s="9" t="s">
        <v>627</v>
      </c>
      <c r="H1007" s="9" t="s">
        <v>17</v>
      </c>
      <c r="I1007" s="13"/>
      <c r="J1007" s="13"/>
      <c r="K1007" s="14"/>
      <c r="L1007" s="13"/>
      <c r="M1007" s="14"/>
      <c r="N1007" s="15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</row>
    <row r="1008">
      <c r="A1008" s="9">
        <v>1006.0</v>
      </c>
      <c r="B1008" s="10">
        <v>44035.0</v>
      </c>
      <c r="C1008" s="9" t="s">
        <v>1461</v>
      </c>
      <c r="D1008" s="11" t="s">
        <v>1830</v>
      </c>
      <c r="E1008" s="9">
        <v>9.71556677616E11</v>
      </c>
      <c r="F1008" s="12" t="s">
        <v>1831</v>
      </c>
      <c r="G1008" s="9" t="s">
        <v>176</v>
      </c>
      <c r="H1008" s="9" t="s">
        <v>81</v>
      </c>
      <c r="I1008" s="13"/>
      <c r="J1008" s="13"/>
      <c r="K1008" s="14"/>
      <c r="L1008" s="13"/>
      <c r="M1008" s="14"/>
      <c r="N1008" s="15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</row>
    <row r="1009">
      <c r="A1009" s="9">
        <v>1007.0</v>
      </c>
      <c r="B1009" s="10">
        <v>44035.0</v>
      </c>
      <c r="C1009" s="9" t="s">
        <v>1461</v>
      </c>
      <c r="D1009" s="11" t="s">
        <v>1832</v>
      </c>
      <c r="E1009" s="9">
        <v>9.71055971507E12</v>
      </c>
      <c r="F1009" s="12" t="s">
        <v>1833</v>
      </c>
      <c r="G1009" s="9" t="s">
        <v>60</v>
      </c>
      <c r="H1009" s="9" t="s">
        <v>81</v>
      </c>
      <c r="I1009" s="13"/>
      <c r="J1009" s="13"/>
      <c r="K1009" s="14"/>
      <c r="L1009" s="13"/>
      <c r="M1009" s="14"/>
      <c r="N1009" s="15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</row>
    <row r="1010">
      <c r="A1010" s="9">
        <v>1008.0</v>
      </c>
      <c r="B1010" s="10">
        <v>44035.0</v>
      </c>
      <c r="C1010" s="9" t="s">
        <v>1461</v>
      </c>
      <c r="D1010" s="11" t="s">
        <v>1834</v>
      </c>
      <c r="E1010" s="9">
        <v>9.710504271329E12</v>
      </c>
      <c r="F1010" s="12" t="s">
        <v>1835</v>
      </c>
      <c r="G1010" s="9" t="s">
        <v>176</v>
      </c>
      <c r="H1010" s="9" t="s">
        <v>41</v>
      </c>
      <c r="I1010" s="13"/>
      <c r="J1010" s="13"/>
      <c r="K1010" s="14"/>
      <c r="L1010" s="13"/>
      <c r="M1010" s="14"/>
      <c r="N1010" s="15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</row>
    <row r="1011">
      <c r="A1011" s="9">
        <v>1009.0</v>
      </c>
      <c r="B1011" s="10">
        <v>44035.0</v>
      </c>
      <c r="C1011" s="9" t="s">
        <v>1461</v>
      </c>
      <c r="D1011" s="11" t="s">
        <v>84</v>
      </c>
      <c r="E1011" s="9">
        <v>9.710551232211E12</v>
      </c>
      <c r="F1011" s="12" t="s">
        <v>1836</v>
      </c>
      <c r="G1011" s="9" t="s">
        <v>134</v>
      </c>
      <c r="H1011" s="9" t="s">
        <v>17</v>
      </c>
      <c r="I1011" s="13"/>
      <c r="J1011" s="13"/>
      <c r="K1011" s="14"/>
      <c r="L1011" s="13"/>
      <c r="M1011" s="14"/>
      <c r="N1011" s="15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</row>
    <row r="1012">
      <c r="A1012" s="9">
        <v>1010.0</v>
      </c>
      <c r="B1012" s="10">
        <v>44035.0</v>
      </c>
      <c r="C1012" s="9" t="s">
        <v>1461</v>
      </c>
      <c r="D1012" s="11" t="s">
        <v>1837</v>
      </c>
      <c r="E1012" s="9">
        <v>9.71052439288E12</v>
      </c>
      <c r="F1012" s="12" t="s">
        <v>1838</v>
      </c>
      <c r="G1012" s="9" t="s">
        <v>134</v>
      </c>
      <c r="H1012" s="9" t="s">
        <v>41</v>
      </c>
      <c r="I1012" s="13"/>
      <c r="J1012" s="13"/>
      <c r="K1012" s="14"/>
      <c r="L1012" s="13"/>
      <c r="M1012" s="14"/>
      <c r="N1012" s="15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</row>
    <row r="1013">
      <c r="A1013" s="9">
        <v>1011.0</v>
      </c>
      <c r="B1013" s="10">
        <v>44035.0</v>
      </c>
      <c r="C1013" s="9" t="s">
        <v>1461</v>
      </c>
      <c r="D1013" s="11" t="s">
        <v>1839</v>
      </c>
      <c r="E1013" s="9">
        <v>9.71054400721E12</v>
      </c>
      <c r="F1013" s="12" t="s">
        <v>1840</v>
      </c>
      <c r="G1013" s="9" t="s">
        <v>52</v>
      </c>
      <c r="H1013" s="9" t="s">
        <v>17</v>
      </c>
      <c r="I1013" s="13"/>
      <c r="J1013" s="13"/>
      <c r="K1013" s="14"/>
      <c r="L1013" s="13"/>
      <c r="M1013" s="14"/>
      <c r="N1013" s="15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</row>
    <row r="1014">
      <c r="A1014" s="9">
        <v>1012.0</v>
      </c>
      <c r="B1014" s="10">
        <v>44035.0</v>
      </c>
      <c r="C1014" s="9" t="s">
        <v>1461</v>
      </c>
      <c r="D1014" s="11" t="s">
        <v>1841</v>
      </c>
      <c r="E1014" s="9">
        <v>9.71564435242E11</v>
      </c>
      <c r="F1014" s="12" t="s">
        <v>1842</v>
      </c>
      <c r="G1014" s="9" t="s">
        <v>364</v>
      </c>
      <c r="H1014" s="9" t="s">
        <v>206</v>
      </c>
      <c r="I1014" s="13"/>
      <c r="J1014" s="13"/>
      <c r="K1014" s="14"/>
      <c r="L1014" s="13"/>
      <c r="M1014" s="14"/>
      <c r="N1014" s="15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</row>
    <row r="1015">
      <c r="A1015" s="9">
        <v>1013.0</v>
      </c>
      <c r="B1015" s="10">
        <v>44035.0</v>
      </c>
      <c r="C1015" s="9" t="s">
        <v>1461</v>
      </c>
      <c r="D1015" s="11" t="s">
        <v>1843</v>
      </c>
      <c r="E1015" s="9">
        <v>9.71055538909E12</v>
      </c>
      <c r="F1015" s="12" t="s">
        <v>1844</v>
      </c>
      <c r="G1015" s="9" t="s">
        <v>80</v>
      </c>
      <c r="H1015" s="9" t="s">
        <v>81</v>
      </c>
      <c r="I1015" s="13"/>
      <c r="J1015" s="13"/>
      <c r="K1015" s="14"/>
      <c r="L1015" s="13"/>
      <c r="M1015" s="14"/>
      <c r="N1015" s="15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</row>
    <row r="1016">
      <c r="A1016" s="9">
        <v>1014.0</v>
      </c>
      <c r="B1016" s="10">
        <v>44034.0</v>
      </c>
      <c r="C1016" s="9" t="s">
        <v>1461</v>
      </c>
      <c r="D1016" s="11" t="s">
        <v>1821</v>
      </c>
      <c r="E1016" s="9">
        <v>9.710559546519E12</v>
      </c>
      <c r="F1016" s="12" t="s">
        <v>1822</v>
      </c>
      <c r="G1016" s="9" t="s">
        <v>80</v>
      </c>
      <c r="H1016" s="9" t="s">
        <v>17</v>
      </c>
      <c r="I1016" s="13"/>
      <c r="J1016" s="13"/>
      <c r="K1016" s="14"/>
      <c r="L1016" s="13"/>
      <c r="M1016" s="14"/>
      <c r="N1016" s="15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</row>
    <row r="1017">
      <c r="A1017" s="9">
        <v>1015.0</v>
      </c>
      <c r="B1017" s="10">
        <v>44034.0</v>
      </c>
      <c r="C1017" s="9" t="s">
        <v>47</v>
      </c>
      <c r="D1017" s="11" t="s">
        <v>1845</v>
      </c>
      <c r="E1017" s="17">
        <f>+971556611725</f>
        <v>971556611725</v>
      </c>
      <c r="F1017" s="12" t="s">
        <v>1846</v>
      </c>
      <c r="G1017" s="9" t="s">
        <v>176</v>
      </c>
      <c r="H1017" s="9" t="s">
        <v>41</v>
      </c>
      <c r="I1017" s="13"/>
      <c r="J1017" s="13"/>
      <c r="K1017" s="14"/>
      <c r="L1017" s="13"/>
      <c r="M1017" s="14"/>
      <c r="N1017" s="15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</row>
    <row r="1018">
      <c r="A1018" s="9">
        <v>1016.0</v>
      </c>
      <c r="B1018" s="10">
        <v>44034.0</v>
      </c>
      <c r="C1018" s="9" t="s">
        <v>47</v>
      </c>
      <c r="D1018" s="11" t="s">
        <v>1847</v>
      </c>
      <c r="E1018" s="17">
        <f>+971557361828</f>
        <v>971557361828</v>
      </c>
      <c r="F1018" s="12" t="s">
        <v>1848</v>
      </c>
      <c r="G1018" s="9" t="s">
        <v>627</v>
      </c>
      <c r="H1018" s="9" t="s">
        <v>17</v>
      </c>
      <c r="I1018" s="13"/>
      <c r="J1018" s="13"/>
      <c r="K1018" s="14"/>
      <c r="L1018" s="13"/>
      <c r="M1018" s="14"/>
      <c r="N1018" s="15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</row>
    <row r="1019">
      <c r="A1019" s="9">
        <v>1017.0</v>
      </c>
      <c r="B1019" s="10">
        <v>44034.0</v>
      </c>
      <c r="C1019" s="9" t="s">
        <v>47</v>
      </c>
      <c r="D1019" s="11" t="s">
        <v>1849</v>
      </c>
      <c r="E1019" s="17">
        <f>+9710559561980</f>
        <v>9710559561980</v>
      </c>
      <c r="F1019" s="12" t="s">
        <v>1850</v>
      </c>
      <c r="G1019" s="9" t="s">
        <v>134</v>
      </c>
      <c r="H1019" s="9" t="s">
        <v>17</v>
      </c>
      <c r="I1019" s="13"/>
      <c r="J1019" s="13"/>
      <c r="K1019" s="14"/>
      <c r="L1019" s="13"/>
      <c r="M1019" s="14"/>
      <c r="N1019" s="15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</row>
    <row r="1020">
      <c r="A1020" s="9">
        <v>1018.0</v>
      </c>
      <c r="B1020" s="10">
        <v>44034.0</v>
      </c>
      <c r="C1020" s="9" t="s">
        <v>1851</v>
      </c>
      <c r="D1020" s="11" t="s">
        <v>1852</v>
      </c>
      <c r="E1020" s="17">
        <f>+971509106055</f>
        <v>971509106055</v>
      </c>
      <c r="F1020" s="12" t="s">
        <v>1853</v>
      </c>
      <c r="G1020" s="9" t="s">
        <v>1823</v>
      </c>
      <c r="H1020" s="9" t="s">
        <v>13</v>
      </c>
      <c r="I1020" s="13"/>
      <c r="J1020" s="13"/>
      <c r="K1020" s="14"/>
      <c r="L1020" s="13"/>
      <c r="M1020" s="14"/>
      <c r="N1020" s="15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</row>
    <row r="1021">
      <c r="A1021" s="9">
        <v>1019.0</v>
      </c>
      <c r="B1021" s="10">
        <v>44034.0</v>
      </c>
      <c r="C1021" s="9" t="s">
        <v>1461</v>
      </c>
      <c r="D1021" s="11" t="s">
        <v>84</v>
      </c>
      <c r="E1021" s="9">
        <v>9.710555560271E12</v>
      </c>
      <c r="F1021" s="12" t="s">
        <v>1854</v>
      </c>
      <c r="G1021" s="9" t="s">
        <v>190</v>
      </c>
      <c r="H1021" s="9" t="s">
        <v>13</v>
      </c>
      <c r="I1021" s="13"/>
      <c r="J1021" s="13"/>
      <c r="K1021" s="14"/>
      <c r="L1021" s="13"/>
      <c r="M1021" s="14"/>
      <c r="N1021" s="15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</row>
    <row r="1022">
      <c r="A1022" s="9">
        <v>1020.0</v>
      </c>
      <c r="B1022" s="10">
        <v>44034.0</v>
      </c>
      <c r="C1022" s="9" t="s">
        <v>1461</v>
      </c>
      <c r="D1022" s="11" t="s">
        <v>1855</v>
      </c>
      <c r="E1022" s="9">
        <v>9.71506118379E11</v>
      </c>
      <c r="F1022" s="12" t="s">
        <v>1856</v>
      </c>
      <c r="G1022" s="9" t="s">
        <v>300</v>
      </c>
      <c r="H1022" s="9" t="s">
        <v>41</v>
      </c>
      <c r="I1022" s="13"/>
      <c r="J1022" s="13"/>
      <c r="K1022" s="14"/>
      <c r="L1022" s="13"/>
      <c r="M1022" s="14"/>
      <c r="N1022" s="15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</row>
    <row r="1023">
      <c r="A1023" s="9">
        <v>1021.0</v>
      </c>
      <c r="B1023" s="10">
        <v>44034.0</v>
      </c>
      <c r="C1023" s="9" t="s">
        <v>47</v>
      </c>
      <c r="D1023" s="11" t="s">
        <v>1857</v>
      </c>
      <c r="E1023" s="17">
        <f>+971554822572</f>
        <v>971554822572</v>
      </c>
      <c r="F1023" s="12" t="s">
        <v>1858</v>
      </c>
      <c r="G1023" s="9" t="s">
        <v>80</v>
      </c>
      <c r="H1023" s="9" t="s">
        <v>17</v>
      </c>
      <c r="I1023" s="13"/>
      <c r="J1023" s="13"/>
      <c r="K1023" s="14"/>
      <c r="L1023" s="13"/>
      <c r="M1023" s="14"/>
      <c r="N1023" s="15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</row>
    <row r="1024">
      <c r="A1024" s="9">
        <v>1022.0</v>
      </c>
      <c r="B1024" s="10">
        <v>44034.0</v>
      </c>
      <c r="C1024" s="9" t="s">
        <v>1461</v>
      </c>
      <c r="D1024" s="11" t="s">
        <v>1859</v>
      </c>
      <c r="E1024" s="9">
        <v>9.710562546169E12</v>
      </c>
      <c r="F1024" s="12" t="s">
        <v>1860</v>
      </c>
      <c r="G1024" s="9" t="s">
        <v>134</v>
      </c>
      <c r="H1024" s="9" t="s">
        <v>17</v>
      </c>
      <c r="I1024" s="13"/>
      <c r="J1024" s="13"/>
      <c r="K1024" s="14"/>
      <c r="L1024" s="13"/>
      <c r="M1024" s="14"/>
      <c r="N1024" s="15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</row>
    <row r="1025">
      <c r="A1025" s="9">
        <v>1023.0</v>
      </c>
      <c r="B1025" s="10">
        <v>44034.0</v>
      </c>
      <c r="C1025" s="9" t="s">
        <v>1206</v>
      </c>
      <c r="D1025" s="11" t="s">
        <v>1861</v>
      </c>
      <c r="E1025" s="9">
        <v>9.710544491573E12</v>
      </c>
      <c r="F1025" s="12" t="s">
        <v>1862</v>
      </c>
      <c r="G1025" s="9" t="s">
        <v>364</v>
      </c>
      <c r="H1025" s="9" t="s">
        <v>206</v>
      </c>
      <c r="I1025" s="13"/>
      <c r="J1025" s="13"/>
      <c r="K1025" s="14"/>
      <c r="L1025" s="13"/>
      <c r="M1025" s="14"/>
      <c r="N1025" s="15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</row>
    <row r="1026">
      <c r="A1026" s="9">
        <v>1024.0</v>
      </c>
      <c r="B1026" s="10">
        <v>44034.0</v>
      </c>
      <c r="C1026" s="9" t="s">
        <v>1851</v>
      </c>
      <c r="D1026" s="11" t="s">
        <v>1863</v>
      </c>
      <c r="E1026" s="17">
        <f>+971562355877</f>
        <v>971562355877</v>
      </c>
      <c r="F1026" s="12" t="s">
        <v>1864</v>
      </c>
      <c r="G1026" s="9" t="s">
        <v>181</v>
      </c>
      <c r="H1026" s="9" t="s">
        <v>17</v>
      </c>
      <c r="I1026" s="13"/>
      <c r="J1026" s="13"/>
      <c r="K1026" s="14"/>
      <c r="L1026" s="13"/>
      <c r="M1026" s="14"/>
      <c r="N1026" s="15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</row>
    <row r="1027">
      <c r="A1027" s="9">
        <v>1025.0</v>
      </c>
      <c r="B1027" s="10">
        <v>44034.0</v>
      </c>
      <c r="C1027" s="9" t="s">
        <v>1461</v>
      </c>
      <c r="D1027" s="11" t="s">
        <v>1865</v>
      </c>
      <c r="E1027" s="9">
        <v>9.710549962455E12</v>
      </c>
      <c r="F1027" s="12" t="s">
        <v>1866</v>
      </c>
      <c r="G1027" s="9" t="s">
        <v>400</v>
      </c>
      <c r="H1027" s="9" t="s">
        <v>17</v>
      </c>
      <c r="I1027" s="13"/>
      <c r="J1027" s="13"/>
      <c r="K1027" s="14"/>
      <c r="L1027" s="13"/>
      <c r="M1027" s="14"/>
      <c r="N1027" s="15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</row>
    <row r="1028">
      <c r="A1028" s="9">
        <v>1026.0</v>
      </c>
      <c r="B1028" s="10">
        <v>44034.0</v>
      </c>
      <c r="C1028" s="9" t="s">
        <v>1206</v>
      </c>
      <c r="D1028" s="11" t="s">
        <v>1867</v>
      </c>
      <c r="E1028" s="9">
        <v>9.66555665141E11</v>
      </c>
      <c r="F1028" s="12" t="s">
        <v>1868</v>
      </c>
      <c r="G1028" s="9" t="s">
        <v>131</v>
      </c>
      <c r="H1028" s="9" t="s">
        <v>41</v>
      </c>
      <c r="I1028" s="13"/>
      <c r="J1028" s="13"/>
      <c r="K1028" s="14"/>
      <c r="L1028" s="13"/>
      <c r="M1028" s="14"/>
      <c r="N1028" s="15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</row>
    <row r="1029">
      <c r="A1029" s="9">
        <v>1027.0</v>
      </c>
      <c r="B1029" s="10">
        <v>44034.0</v>
      </c>
      <c r="C1029" s="9" t="s">
        <v>47</v>
      </c>
      <c r="D1029" s="11" t="s">
        <v>1869</v>
      </c>
      <c r="E1029" s="17">
        <f>+971505519500</f>
        <v>971505519500</v>
      </c>
      <c r="F1029" s="12" t="s">
        <v>1870</v>
      </c>
      <c r="G1029" s="9" t="s">
        <v>28</v>
      </c>
      <c r="H1029" s="9" t="s">
        <v>13</v>
      </c>
      <c r="I1029" s="13"/>
      <c r="J1029" s="13"/>
      <c r="K1029" s="14"/>
      <c r="L1029" s="13"/>
      <c r="M1029" s="14"/>
      <c r="N1029" s="15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</row>
    <row r="1030">
      <c r="A1030" s="9">
        <v>1028.0</v>
      </c>
      <c r="B1030" s="10">
        <v>44034.0</v>
      </c>
      <c r="C1030" s="9" t="s">
        <v>1461</v>
      </c>
      <c r="D1030" s="11" t="s">
        <v>1871</v>
      </c>
      <c r="E1030" s="9">
        <v>9.71052918536E12</v>
      </c>
      <c r="F1030" s="12" t="s">
        <v>1872</v>
      </c>
      <c r="G1030" s="9" t="s">
        <v>1823</v>
      </c>
      <c r="H1030" s="9" t="s">
        <v>13</v>
      </c>
      <c r="I1030" s="13"/>
      <c r="J1030" s="13"/>
      <c r="K1030" s="14"/>
      <c r="L1030" s="13"/>
      <c r="M1030" s="14"/>
      <c r="N1030" s="15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</row>
    <row r="1031">
      <c r="A1031" s="9">
        <v>1029.0</v>
      </c>
      <c r="B1031" s="10">
        <v>44034.0</v>
      </c>
      <c r="C1031" s="9" t="s">
        <v>47</v>
      </c>
      <c r="D1031" s="11" t="s">
        <v>1873</v>
      </c>
      <c r="E1031" s="17">
        <f>+971561625999</f>
        <v>971561625999</v>
      </c>
      <c r="F1031" s="12" t="s">
        <v>1874</v>
      </c>
      <c r="G1031" s="9" t="s">
        <v>134</v>
      </c>
      <c r="H1031" s="9" t="s">
        <v>17</v>
      </c>
      <c r="I1031" s="13"/>
      <c r="J1031" s="13"/>
      <c r="K1031" s="14"/>
      <c r="L1031" s="13"/>
      <c r="M1031" s="14"/>
      <c r="N1031" s="15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</row>
    <row r="1032">
      <c r="A1032" s="9">
        <v>1030.0</v>
      </c>
      <c r="B1032" s="10">
        <v>44034.0</v>
      </c>
      <c r="C1032" s="9" t="s">
        <v>1759</v>
      </c>
      <c r="D1032" s="11" t="s">
        <v>1875</v>
      </c>
      <c r="E1032" s="17">
        <f>+971568534775</f>
        <v>971568534775</v>
      </c>
      <c r="F1032" s="12" t="s">
        <v>1876</v>
      </c>
      <c r="G1032" s="9" t="s">
        <v>176</v>
      </c>
      <c r="H1032" s="9" t="s">
        <v>41</v>
      </c>
      <c r="I1032" s="13"/>
      <c r="J1032" s="13"/>
      <c r="K1032" s="14"/>
      <c r="L1032" s="13"/>
      <c r="M1032" s="14"/>
      <c r="N1032" s="15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</row>
    <row r="1033">
      <c r="A1033" s="9">
        <v>1031.0</v>
      </c>
      <c r="B1033" s="10">
        <v>44034.0</v>
      </c>
      <c r="C1033" s="9" t="s">
        <v>1461</v>
      </c>
      <c r="D1033" s="11" t="s">
        <v>1877</v>
      </c>
      <c r="E1033" s="9">
        <v>9.71562714438E11</v>
      </c>
      <c r="F1033" s="12" t="s">
        <v>1878</v>
      </c>
      <c r="G1033" s="9" t="s">
        <v>300</v>
      </c>
      <c r="H1033" s="9" t="s">
        <v>17</v>
      </c>
      <c r="I1033" s="13"/>
      <c r="J1033" s="13"/>
      <c r="K1033" s="14"/>
      <c r="L1033" s="13"/>
      <c r="M1033" s="14"/>
      <c r="N1033" s="15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</row>
    <row r="1034">
      <c r="A1034" s="9">
        <v>1032.0</v>
      </c>
      <c r="B1034" s="10">
        <v>44034.0</v>
      </c>
      <c r="C1034" s="9" t="s">
        <v>1635</v>
      </c>
      <c r="D1034" s="11" t="s">
        <v>1879</v>
      </c>
      <c r="E1034" s="17">
        <f>+16046579318</f>
        <v>16046579318</v>
      </c>
      <c r="F1034" s="12" t="s">
        <v>1880</v>
      </c>
      <c r="G1034" s="9" t="s">
        <v>1881</v>
      </c>
      <c r="H1034" s="9" t="s">
        <v>41</v>
      </c>
      <c r="I1034" s="13"/>
      <c r="J1034" s="13"/>
      <c r="K1034" s="14"/>
      <c r="L1034" s="13"/>
      <c r="M1034" s="14"/>
      <c r="N1034" s="15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</row>
    <row r="1035">
      <c r="A1035" s="9">
        <v>1033.0</v>
      </c>
      <c r="B1035" s="10">
        <v>44034.0</v>
      </c>
      <c r="C1035" s="9" t="s">
        <v>1759</v>
      </c>
      <c r="D1035" s="11" t="s">
        <v>887</v>
      </c>
      <c r="E1035" s="17">
        <f>+971524419585</f>
        <v>971524419585</v>
      </c>
      <c r="F1035" s="12" t="s">
        <v>1882</v>
      </c>
      <c r="G1035" s="9" t="s">
        <v>52</v>
      </c>
      <c r="H1035" s="9" t="s">
        <v>17</v>
      </c>
      <c r="I1035" s="13"/>
      <c r="J1035" s="13"/>
      <c r="K1035" s="14"/>
      <c r="L1035" s="13"/>
      <c r="M1035" s="14"/>
      <c r="N1035" s="15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</row>
    <row r="1036">
      <c r="A1036" s="9">
        <v>1034.0</v>
      </c>
      <c r="B1036" s="10">
        <v>44034.0</v>
      </c>
      <c r="C1036" s="9" t="s">
        <v>1759</v>
      </c>
      <c r="D1036" s="11" t="s">
        <v>1883</v>
      </c>
      <c r="E1036" s="17">
        <f>+971502509104</f>
        <v>971502509104</v>
      </c>
      <c r="F1036" s="12" t="s">
        <v>1884</v>
      </c>
      <c r="G1036" s="9" t="s">
        <v>80</v>
      </c>
      <c r="H1036" s="9" t="s">
        <v>41</v>
      </c>
      <c r="I1036" s="13"/>
      <c r="J1036" s="13"/>
      <c r="K1036" s="14"/>
      <c r="L1036" s="13"/>
      <c r="M1036" s="14"/>
      <c r="N1036" s="15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</row>
    <row r="1037">
      <c r="A1037" s="9">
        <v>1035.0</v>
      </c>
      <c r="B1037" s="10">
        <v>44034.0</v>
      </c>
      <c r="C1037" s="9" t="s">
        <v>401</v>
      </c>
      <c r="D1037" s="16" t="s">
        <v>1885</v>
      </c>
      <c r="E1037" s="17">
        <f>+966599711429</f>
        <v>966599711429</v>
      </c>
      <c r="F1037" s="12" t="s">
        <v>1886</v>
      </c>
      <c r="G1037" s="9" t="s">
        <v>184</v>
      </c>
      <c r="H1037" s="9" t="s">
        <v>385</v>
      </c>
      <c r="I1037" s="13"/>
      <c r="J1037" s="13"/>
      <c r="K1037" s="14"/>
      <c r="L1037" s="13"/>
      <c r="M1037" s="22"/>
      <c r="N1037" s="15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</row>
    <row r="1038">
      <c r="A1038" s="9">
        <v>1036.0</v>
      </c>
      <c r="B1038" s="10">
        <v>44034.0</v>
      </c>
      <c r="C1038" s="9" t="s">
        <v>47</v>
      </c>
      <c r="D1038" s="11" t="s">
        <v>1887</v>
      </c>
      <c r="E1038" s="17">
        <f>+971529707097</f>
        <v>971529707097</v>
      </c>
      <c r="F1038" s="12" t="s">
        <v>1888</v>
      </c>
      <c r="G1038" s="9" t="s">
        <v>28</v>
      </c>
      <c r="H1038" s="9" t="s">
        <v>13</v>
      </c>
      <c r="I1038" s="13"/>
      <c r="J1038" s="13"/>
      <c r="K1038" s="14"/>
      <c r="L1038" s="13"/>
      <c r="M1038" s="14"/>
      <c r="N1038" s="15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</row>
    <row r="1039">
      <c r="A1039" s="9">
        <v>1037.0</v>
      </c>
      <c r="B1039" s="10">
        <v>44034.0</v>
      </c>
      <c r="C1039" s="9" t="s">
        <v>1759</v>
      </c>
      <c r="D1039" s="11" t="s">
        <v>1889</v>
      </c>
      <c r="E1039" s="9">
        <v>5.63611622E8</v>
      </c>
      <c r="F1039" s="12" t="s">
        <v>1890</v>
      </c>
      <c r="G1039" s="9" t="s">
        <v>52</v>
      </c>
      <c r="H1039" s="9" t="s">
        <v>21</v>
      </c>
      <c r="I1039" s="13"/>
      <c r="J1039" s="13"/>
      <c r="K1039" s="14"/>
      <c r="L1039" s="13"/>
      <c r="M1039" s="14"/>
      <c r="N1039" s="15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</row>
    <row r="1040">
      <c r="A1040" s="9">
        <v>1038.0</v>
      </c>
      <c r="B1040" s="10">
        <v>44034.0</v>
      </c>
      <c r="C1040" s="9" t="s">
        <v>1461</v>
      </c>
      <c r="D1040" s="11" t="s">
        <v>1891</v>
      </c>
      <c r="E1040" s="9">
        <v>9.71508061385E11</v>
      </c>
      <c r="F1040" s="12" t="s">
        <v>1892</v>
      </c>
      <c r="G1040" s="9" t="s">
        <v>627</v>
      </c>
      <c r="H1040" s="9" t="s">
        <v>654</v>
      </c>
      <c r="I1040" s="13"/>
      <c r="J1040" s="13"/>
      <c r="K1040" s="14"/>
      <c r="L1040" s="13"/>
      <c r="M1040" s="14"/>
      <c r="N1040" s="15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</row>
    <row r="1041">
      <c r="A1041" s="9">
        <v>1039.0</v>
      </c>
      <c r="B1041" s="10">
        <v>44034.0</v>
      </c>
      <c r="C1041" s="9" t="s">
        <v>401</v>
      </c>
      <c r="D1041" s="11" t="s">
        <v>1893</v>
      </c>
      <c r="E1041" s="17">
        <f>+966548594182</f>
        <v>966548594182</v>
      </c>
      <c r="F1041" s="12" t="s">
        <v>1894</v>
      </c>
      <c r="G1041" s="9" t="s">
        <v>184</v>
      </c>
      <c r="H1041" s="9" t="s">
        <v>385</v>
      </c>
      <c r="I1041" s="13"/>
      <c r="J1041" s="13"/>
      <c r="K1041" s="14"/>
      <c r="L1041" s="13"/>
      <c r="M1041" s="14"/>
      <c r="N1041" s="15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</row>
    <row r="1042">
      <c r="A1042" s="9">
        <v>1040.0</v>
      </c>
      <c r="B1042" s="10">
        <v>44034.0</v>
      </c>
      <c r="C1042" s="9" t="s">
        <v>1461</v>
      </c>
      <c r="D1042" s="11" t="s">
        <v>1895</v>
      </c>
      <c r="E1042" s="9">
        <v>9.7105868464E12</v>
      </c>
      <c r="F1042" s="12" t="s">
        <v>1896</v>
      </c>
      <c r="G1042" s="9" t="s">
        <v>20</v>
      </c>
      <c r="H1042" s="9" t="s">
        <v>17</v>
      </c>
      <c r="I1042" s="13"/>
      <c r="J1042" s="13"/>
      <c r="K1042" s="14"/>
      <c r="L1042" s="13"/>
      <c r="M1042" s="14"/>
      <c r="N1042" s="15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</row>
    <row r="1043">
      <c r="A1043" s="9">
        <v>1041.0</v>
      </c>
      <c r="B1043" s="10">
        <v>44034.0</v>
      </c>
      <c r="C1043" s="9" t="s">
        <v>1206</v>
      </c>
      <c r="D1043" s="11" t="s">
        <v>1634</v>
      </c>
      <c r="E1043" s="9">
        <v>9.66504969446E11</v>
      </c>
      <c r="F1043" s="12" t="s">
        <v>1897</v>
      </c>
      <c r="G1043" s="9" t="s">
        <v>60</v>
      </c>
      <c r="H1043" s="9" t="s">
        <v>41</v>
      </c>
      <c r="I1043" s="13"/>
      <c r="J1043" s="13"/>
      <c r="K1043" s="14"/>
      <c r="L1043" s="13"/>
      <c r="M1043" s="14"/>
      <c r="N1043" s="15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</row>
    <row r="1044">
      <c r="A1044" s="9">
        <v>1042.0</v>
      </c>
      <c r="B1044" s="10">
        <v>44033.0</v>
      </c>
      <c r="C1044" s="9" t="s">
        <v>1206</v>
      </c>
      <c r="D1044" s="11" t="s">
        <v>536</v>
      </c>
      <c r="E1044" s="9">
        <v>9.71050276751E12</v>
      </c>
      <c r="F1044" s="12" t="s">
        <v>537</v>
      </c>
      <c r="G1044" s="9" t="s">
        <v>134</v>
      </c>
      <c r="H1044" s="9" t="s">
        <v>17</v>
      </c>
      <c r="I1044" s="13"/>
      <c r="J1044" s="13"/>
      <c r="K1044" s="14"/>
      <c r="L1044" s="13"/>
      <c r="M1044" s="14"/>
      <c r="N1044" s="15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</row>
    <row r="1045">
      <c r="A1045" s="9">
        <v>1043.0</v>
      </c>
      <c r="B1045" s="10">
        <v>44033.0</v>
      </c>
      <c r="C1045" s="9" t="s">
        <v>47</v>
      </c>
      <c r="D1045" s="11" t="s">
        <v>1898</v>
      </c>
      <c r="E1045" s="17">
        <f>+971555011009</f>
        <v>971555011009</v>
      </c>
      <c r="F1045" s="12" t="s">
        <v>1899</v>
      </c>
      <c r="G1045" s="9" t="s">
        <v>28</v>
      </c>
      <c r="H1045" s="9" t="s">
        <v>13</v>
      </c>
      <c r="I1045" s="13"/>
      <c r="J1045" s="13"/>
      <c r="K1045" s="14"/>
      <c r="L1045" s="13"/>
      <c r="M1045" s="14"/>
      <c r="N1045" s="15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</row>
    <row r="1046">
      <c r="A1046" s="9">
        <v>1044.0</v>
      </c>
      <c r="B1046" s="10">
        <v>44033.0</v>
      </c>
      <c r="C1046" s="9" t="s">
        <v>47</v>
      </c>
      <c r="D1046" s="11" t="s">
        <v>1900</v>
      </c>
      <c r="E1046" s="9">
        <v>9.710544320187E12</v>
      </c>
      <c r="F1046" s="12" t="s">
        <v>1901</v>
      </c>
      <c r="G1046" s="9" t="s">
        <v>627</v>
      </c>
      <c r="H1046" s="9" t="s">
        <v>17</v>
      </c>
      <c r="I1046" s="13"/>
      <c r="J1046" s="13"/>
      <c r="K1046" s="14"/>
      <c r="L1046" s="13"/>
      <c r="M1046" s="14"/>
      <c r="N1046" s="15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</row>
    <row r="1047">
      <c r="A1047" s="9">
        <v>1045.0</v>
      </c>
      <c r="B1047" s="10">
        <v>44033.0</v>
      </c>
      <c r="C1047" s="9" t="s">
        <v>1461</v>
      </c>
      <c r="D1047" s="11" t="s">
        <v>1902</v>
      </c>
      <c r="E1047" s="9">
        <v>9.710585954623E12</v>
      </c>
      <c r="F1047" s="12" t="s">
        <v>1903</v>
      </c>
      <c r="G1047" s="9" t="s">
        <v>190</v>
      </c>
      <c r="H1047" s="9" t="s">
        <v>13</v>
      </c>
      <c r="I1047" s="13"/>
      <c r="J1047" s="13"/>
      <c r="K1047" s="14"/>
      <c r="L1047" s="13"/>
      <c r="M1047" s="14"/>
      <c r="N1047" s="15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</row>
    <row r="1048">
      <c r="A1048" s="9">
        <v>1046.0</v>
      </c>
      <c r="B1048" s="10">
        <v>44033.0</v>
      </c>
      <c r="C1048" s="9" t="s">
        <v>47</v>
      </c>
      <c r="D1048" s="11" t="s">
        <v>1904</v>
      </c>
      <c r="E1048" s="17">
        <f>+923330221912</f>
        <v>923330221912</v>
      </c>
      <c r="F1048" s="12" t="s">
        <v>1905</v>
      </c>
      <c r="G1048" s="9" t="s">
        <v>455</v>
      </c>
      <c r="H1048" s="9" t="s">
        <v>41</v>
      </c>
      <c r="I1048" s="13"/>
      <c r="J1048" s="13"/>
      <c r="K1048" s="14"/>
      <c r="L1048" s="13"/>
      <c r="M1048" s="14"/>
      <c r="N1048" s="15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</row>
    <row r="1049">
      <c r="A1049" s="9">
        <v>1047.0</v>
      </c>
      <c r="B1049" s="10">
        <v>44033.0</v>
      </c>
      <c r="C1049" s="9" t="s">
        <v>1206</v>
      </c>
      <c r="D1049" s="11" t="s">
        <v>1906</v>
      </c>
      <c r="E1049" s="9">
        <v>9.6605428188722E13</v>
      </c>
      <c r="F1049" s="12" t="s">
        <v>1907</v>
      </c>
      <c r="G1049" s="9" t="s">
        <v>184</v>
      </c>
      <c r="H1049" s="9" t="s">
        <v>385</v>
      </c>
      <c r="I1049" s="13"/>
      <c r="J1049" s="13"/>
      <c r="K1049" s="14"/>
      <c r="L1049" s="13"/>
      <c r="M1049" s="14"/>
      <c r="N1049" s="15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</row>
    <row r="1050">
      <c r="A1050" s="9">
        <v>1048.0</v>
      </c>
      <c r="B1050" s="10">
        <v>44033.0</v>
      </c>
      <c r="C1050" s="9" t="s">
        <v>1851</v>
      </c>
      <c r="D1050" s="11" t="s">
        <v>1908</v>
      </c>
      <c r="E1050" s="17">
        <f>+971506118379</f>
        <v>971506118379</v>
      </c>
      <c r="F1050" s="12" t="s">
        <v>1856</v>
      </c>
      <c r="G1050" s="9" t="s">
        <v>176</v>
      </c>
      <c r="H1050" s="9" t="s">
        <v>41</v>
      </c>
      <c r="I1050" s="13"/>
      <c r="J1050" s="13"/>
      <c r="K1050" s="14"/>
      <c r="L1050" s="13"/>
      <c r="M1050" s="14"/>
      <c r="N1050" s="15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</row>
    <row r="1051">
      <c r="A1051" s="9">
        <v>1049.0</v>
      </c>
      <c r="B1051" s="10">
        <v>44033.0</v>
      </c>
      <c r="C1051" s="9" t="s">
        <v>47</v>
      </c>
      <c r="D1051" s="16" t="s">
        <v>1909</v>
      </c>
      <c r="E1051" s="17">
        <f>+971553022339</f>
        <v>971553022339</v>
      </c>
      <c r="F1051" s="12" t="s">
        <v>1910</v>
      </c>
      <c r="G1051" s="9" t="s">
        <v>40</v>
      </c>
      <c r="H1051" s="9" t="s">
        <v>17</v>
      </c>
      <c r="I1051" s="13"/>
      <c r="J1051" s="13"/>
      <c r="K1051" s="14"/>
      <c r="L1051" s="13"/>
      <c r="M1051" s="22"/>
      <c r="N1051" s="15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</row>
    <row r="1052">
      <c r="A1052" s="9">
        <v>1050.0</v>
      </c>
      <c r="B1052" s="10">
        <v>44033.0</v>
      </c>
      <c r="C1052" s="9" t="s">
        <v>1851</v>
      </c>
      <c r="D1052" s="11" t="s">
        <v>1911</v>
      </c>
      <c r="E1052" s="17">
        <f>+971564111891</f>
        <v>971564111891</v>
      </c>
      <c r="F1052" s="12" t="s">
        <v>1912</v>
      </c>
      <c r="G1052" s="9" t="s">
        <v>176</v>
      </c>
      <c r="H1052" s="9" t="s">
        <v>17</v>
      </c>
      <c r="I1052" s="13"/>
      <c r="J1052" s="13"/>
      <c r="K1052" s="14"/>
      <c r="L1052" s="13"/>
      <c r="M1052" s="14"/>
      <c r="N1052" s="15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</row>
    <row r="1053">
      <c r="A1053" s="9">
        <v>1051.0</v>
      </c>
      <c r="B1053" s="10">
        <v>44033.0</v>
      </c>
      <c r="C1053" s="9" t="s">
        <v>1206</v>
      </c>
      <c r="D1053" s="16" t="s">
        <v>1913</v>
      </c>
      <c r="E1053" s="9">
        <v>9.66503686207E11</v>
      </c>
      <c r="F1053" s="12" t="s">
        <v>1914</v>
      </c>
      <c r="G1053" s="9" t="s">
        <v>184</v>
      </c>
      <c r="H1053" s="9" t="s">
        <v>385</v>
      </c>
      <c r="I1053" s="13"/>
      <c r="J1053" s="13"/>
      <c r="K1053" s="14"/>
      <c r="L1053" s="13"/>
      <c r="M1053" s="22"/>
      <c r="N1053" s="15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</row>
    <row r="1054">
      <c r="A1054" s="9">
        <v>1052.0</v>
      </c>
      <c r="B1054" s="10">
        <v>44033.0</v>
      </c>
      <c r="C1054" s="9" t="s">
        <v>1461</v>
      </c>
      <c r="D1054" s="11" t="s">
        <v>1915</v>
      </c>
      <c r="E1054" s="9">
        <v>9.710501373487E12</v>
      </c>
      <c r="F1054" s="12" t="s">
        <v>1916</v>
      </c>
      <c r="G1054" s="9" t="s">
        <v>300</v>
      </c>
      <c r="H1054" s="9" t="s">
        <v>17</v>
      </c>
      <c r="I1054" s="13"/>
      <c r="J1054" s="13"/>
      <c r="K1054" s="14"/>
      <c r="L1054" s="13"/>
      <c r="M1054" s="14"/>
      <c r="N1054" s="15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</row>
    <row r="1055">
      <c r="A1055" s="9">
        <v>1053.0</v>
      </c>
      <c r="B1055" s="10">
        <v>44033.0</v>
      </c>
      <c r="C1055" s="9" t="s">
        <v>1461</v>
      </c>
      <c r="D1055" s="11" t="s">
        <v>1917</v>
      </c>
      <c r="E1055" s="9">
        <v>9.710503214545E12</v>
      </c>
      <c r="F1055" s="12" t="s">
        <v>1918</v>
      </c>
      <c r="G1055" s="9" t="s">
        <v>80</v>
      </c>
      <c r="H1055" s="9" t="s">
        <v>41</v>
      </c>
      <c r="I1055" s="13"/>
      <c r="J1055" s="13"/>
      <c r="K1055" s="14"/>
      <c r="L1055" s="13"/>
      <c r="M1055" s="14"/>
      <c r="N1055" s="15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</row>
    <row r="1056">
      <c r="A1056" s="9">
        <v>1054.0</v>
      </c>
      <c r="B1056" s="10">
        <v>44033.0</v>
      </c>
      <c r="C1056" s="9" t="s">
        <v>1461</v>
      </c>
      <c r="D1056" s="11" t="s">
        <v>1919</v>
      </c>
      <c r="E1056" s="9">
        <v>9.710508757203E12</v>
      </c>
      <c r="F1056" s="12" t="s">
        <v>1920</v>
      </c>
      <c r="G1056" s="9" t="s">
        <v>12</v>
      </c>
      <c r="H1056" s="9" t="s">
        <v>17</v>
      </c>
      <c r="I1056" s="13"/>
      <c r="J1056" s="13"/>
      <c r="K1056" s="14"/>
      <c r="L1056" s="13"/>
      <c r="M1056" s="14"/>
      <c r="N1056" s="15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</row>
    <row r="1057">
      <c r="A1057" s="9">
        <v>1055.0</v>
      </c>
      <c r="B1057" s="10">
        <v>44033.0</v>
      </c>
      <c r="C1057" s="9" t="s">
        <v>1461</v>
      </c>
      <c r="D1057" s="11" t="s">
        <v>1921</v>
      </c>
      <c r="E1057" s="9">
        <v>9.710544572346E12</v>
      </c>
      <c r="F1057" s="12" t="s">
        <v>1922</v>
      </c>
      <c r="G1057" s="9" t="s">
        <v>364</v>
      </c>
      <c r="H1057" s="9" t="s">
        <v>206</v>
      </c>
      <c r="I1057" s="13"/>
      <c r="J1057" s="13"/>
      <c r="K1057" s="14"/>
      <c r="L1057" s="13"/>
      <c r="M1057" s="14"/>
      <c r="N1057" s="15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</row>
    <row r="1058">
      <c r="A1058" s="9">
        <v>1056.0</v>
      </c>
      <c r="B1058" s="10">
        <v>44033.0</v>
      </c>
      <c r="C1058" s="9" t="s">
        <v>1206</v>
      </c>
      <c r="D1058" s="16" t="s">
        <v>321</v>
      </c>
      <c r="E1058" s="9">
        <v>9.66508394475E11</v>
      </c>
      <c r="F1058" s="12" t="s">
        <v>323</v>
      </c>
      <c r="G1058" s="9" t="s">
        <v>80</v>
      </c>
      <c r="H1058" s="9" t="s">
        <v>41</v>
      </c>
      <c r="I1058" s="13"/>
      <c r="J1058" s="13"/>
      <c r="K1058" s="14"/>
      <c r="L1058" s="13"/>
      <c r="M1058" s="22"/>
      <c r="N1058" s="15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</row>
    <row r="1059">
      <c r="A1059" s="9">
        <v>1057.0</v>
      </c>
      <c r="B1059" s="10">
        <v>44033.0</v>
      </c>
      <c r="C1059" s="9" t="s">
        <v>1206</v>
      </c>
      <c r="D1059" s="16" t="s">
        <v>1517</v>
      </c>
      <c r="E1059" s="9">
        <v>9.66559488644E11</v>
      </c>
      <c r="F1059" s="12" t="s">
        <v>1923</v>
      </c>
      <c r="G1059" s="9" t="s">
        <v>28</v>
      </c>
      <c r="H1059" s="9" t="s">
        <v>13</v>
      </c>
      <c r="I1059" s="13"/>
      <c r="J1059" s="13"/>
      <c r="K1059" s="14"/>
      <c r="L1059" s="13"/>
      <c r="M1059" s="22"/>
      <c r="N1059" s="15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</row>
    <row r="1060">
      <c r="A1060" s="9">
        <v>1058.0</v>
      </c>
      <c r="B1060" s="10">
        <v>44033.0</v>
      </c>
      <c r="C1060" s="9" t="s">
        <v>1206</v>
      </c>
      <c r="D1060" s="16" t="s">
        <v>1924</v>
      </c>
      <c r="E1060" s="9">
        <v>9.66555537377E11</v>
      </c>
      <c r="F1060" s="12" t="s">
        <v>1925</v>
      </c>
      <c r="G1060" s="9" t="s">
        <v>131</v>
      </c>
      <c r="H1060" s="9" t="s">
        <v>81</v>
      </c>
      <c r="I1060" s="13"/>
      <c r="J1060" s="13"/>
      <c r="K1060" s="14"/>
      <c r="L1060" s="13"/>
      <c r="M1060" s="22"/>
      <c r="N1060" s="15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</row>
    <row r="1061">
      <c r="A1061" s="9">
        <v>1059.0</v>
      </c>
      <c r="B1061" s="10">
        <v>44033.0</v>
      </c>
      <c r="C1061" s="9" t="s">
        <v>1461</v>
      </c>
      <c r="D1061" s="11" t="s">
        <v>1926</v>
      </c>
      <c r="E1061" s="9">
        <v>9.710565250229E12</v>
      </c>
      <c r="F1061" s="12" t="s">
        <v>1927</v>
      </c>
      <c r="G1061" s="9" t="s">
        <v>300</v>
      </c>
      <c r="H1061" s="9" t="s">
        <v>17</v>
      </c>
      <c r="I1061" s="13"/>
      <c r="J1061" s="13"/>
      <c r="K1061" s="14"/>
      <c r="L1061" s="13"/>
      <c r="M1061" s="14"/>
      <c r="N1061" s="15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</row>
    <row r="1062">
      <c r="A1062" s="9">
        <v>1060.0</v>
      </c>
      <c r="B1062" s="10">
        <v>44033.0</v>
      </c>
      <c r="C1062" s="9" t="s">
        <v>1206</v>
      </c>
      <c r="D1062" s="11" t="s">
        <v>1928</v>
      </c>
      <c r="E1062" s="9">
        <v>9.710509017288E12</v>
      </c>
      <c r="F1062" s="12" t="s">
        <v>1929</v>
      </c>
      <c r="G1062" s="9" t="s">
        <v>28</v>
      </c>
      <c r="H1062" s="9" t="s">
        <v>13</v>
      </c>
      <c r="I1062" s="13"/>
      <c r="J1062" s="13"/>
      <c r="K1062" s="14"/>
      <c r="L1062" s="13"/>
      <c r="M1062" s="14"/>
      <c r="N1062" s="15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</row>
    <row r="1063">
      <c r="A1063" s="9">
        <v>1061.0</v>
      </c>
      <c r="B1063" s="10">
        <v>44033.0</v>
      </c>
      <c r="C1063" s="9" t="s">
        <v>1461</v>
      </c>
      <c r="D1063" s="11" t="s">
        <v>1930</v>
      </c>
      <c r="E1063" s="9">
        <v>9.710525374816E12</v>
      </c>
      <c r="F1063" s="12" t="s">
        <v>1931</v>
      </c>
      <c r="G1063" s="9" t="s">
        <v>190</v>
      </c>
      <c r="H1063" s="9" t="s">
        <v>13</v>
      </c>
      <c r="I1063" s="13"/>
      <c r="J1063" s="13"/>
      <c r="K1063" s="14"/>
      <c r="L1063" s="13"/>
      <c r="M1063" s="14"/>
      <c r="N1063" s="15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</row>
    <row r="1064">
      <c r="A1064" s="9">
        <v>1062.0</v>
      </c>
      <c r="B1064" s="10">
        <v>44033.0</v>
      </c>
      <c r="C1064" s="9" t="s">
        <v>1759</v>
      </c>
      <c r="D1064" s="11" t="s">
        <v>1932</v>
      </c>
      <c r="E1064" s="17">
        <f>+971506456869</f>
        <v>971506456869</v>
      </c>
      <c r="F1064" s="12" t="s">
        <v>1933</v>
      </c>
      <c r="G1064" s="9" t="s">
        <v>176</v>
      </c>
      <c r="H1064" s="9" t="s">
        <v>17</v>
      </c>
      <c r="I1064" s="13"/>
      <c r="J1064" s="13"/>
      <c r="K1064" s="14"/>
      <c r="L1064" s="13"/>
      <c r="M1064" s="14"/>
      <c r="N1064" s="15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</row>
    <row r="1065">
      <c r="A1065" s="9">
        <v>1063.0</v>
      </c>
      <c r="B1065" s="10">
        <v>44033.0</v>
      </c>
      <c r="C1065" s="9" t="s">
        <v>1635</v>
      </c>
      <c r="D1065" s="11" t="s">
        <v>1934</v>
      </c>
      <c r="E1065" s="17">
        <f>+61452086881</f>
        <v>61452086881</v>
      </c>
      <c r="F1065" s="12" t="s">
        <v>1935</v>
      </c>
      <c r="G1065" s="9" t="s">
        <v>1881</v>
      </c>
      <c r="H1065" s="9" t="s">
        <v>41</v>
      </c>
      <c r="I1065" s="13"/>
      <c r="J1065" s="13"/>
      <c r="K1065" s="14"/>
      <c r="L1065" s="13"/>
      <c r="M1065" s="14"/>
      <c r="N1065" s="15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</row>
    <row r="1066">
      <c r="A1066" s="9">
        <v>1064.0</v>
      </c>
      <c r="B1066" s="10">
        <v>44033.0</v>
      </c>
      <c r="C1066" s="9" t="s">
        <v>1206</v>
      </c>
      <c r="D1066" s="16" t="s">
        <v>1637</v>
      </c>
      <c r="E1066" s="9">
        <v>9.66503104309E11</v>
      </c>
      <c r="F1066" s="12" t="s">
        <v>1936</v>
      </c>
      <c r="G1066" s="9" t="s">
        <v>184</v>
      </c>
      <c r="H1066" s="9" t="s">
        <v>385</v>
      </c>
      <c r="I1066" s="13"/>
      <c r="J1066" s="13"/>
      <c r="K1066" s="14"/>
      <c r="L1066" s="13"/>
      <c r="M1066" s="22"/>
      <c r="N1066" s="15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</row>
    <row r="1067">
      <c r="A1067" s="9">
        <v>1065.0</v>
      </c>
      <c r="B1067" s="10">
        <v>44033.0</v>
      </c>
      <c r="C1067" s="9" t="s">
        <v>1759</v>
      </c>
      <c r="D1067" s="11" t="s">
        <v>1937</v>
      </c>
      <c r="E1067" s="17">
        <f>+971561715886</f>
        <v>971561715886</v>
      </c>
      <c r="F1067" s="12" t="s">
        <v>1938</v>
      </c>
      <c r="G1067" s="9" t="s">
        <v>80</v>
      </c>
      <c r="H1067" s="9" t="s">
        <v>81</v>
      </c>
      <c r="I1067" s="13"/>
      <c r="J1067" s="13"/>
      <c r="K1067" s="14"/>
      <c r="L1067" s="13"/>
      <c r="M1067" s="14"/>
      <c r="N1067" s="15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</row>
    <row r="1068">
      <c r="A1068" s="9">
        <v>1066.0</v>
      </c>
      <c r="B1068" s="10">
        <v>44033.0</v>
      </c>
      <c r="C1068" s="9" t="s">
        <v>401</v>
      </c>
      <c r="D1068" s="16" t="s">
        <v>1939</v>
      </c>
      <c r="E1068" s="17">
        <f>+249912551639</f>
        <v>249912551639</v>
      </c>
      <c r="F1068" s="12" t="s">
        <v>1940</v>
      </c>
      <c r="G1068" s="9" t="s">
        <v>25</v>
      </c>
      <c r="H1068" s="9" t="s">
        <v>13</v>
      </c>
      <c r="I1068" s="13"/>
      <c r="J1068" s="13"/>
      <c r="K1068" s="14"/>
      <c r="L1068" s="13"/>
      <c r="M1068" s="22"/>
      <c r="N1068" s="15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</row>
    <row r="1069">
      <c r="A1069" s="9">
        <v>1067.0</v>
      </c>
      <c r="B1069" s="10">
        <v>44033.0</v>
      </c>
      <c r="C1069" s="9" t="s">
        <v>1759</v>
      </c>
      <c r="D1069" s="11" t="s">
        <v>1941</v>
      </c>
      <c r="E1069" s="17">
        <f>+971544067409</f>
        <v>971544067409</v>
      </c>
      <c r="F1069" s="12" t="s">
        <v>1942</v>
      </c>
      <c r="G1069" s="9" t="s">
        <v>176</v>
      </c>
      <c r="H1069" s="9" t="s">
        <v>17</v>
      </c>
      <c r="I1069" s="13"/>
      <c r="J1069" s="13"/>
      <c r="K1069" s="14"/>
      <c r="L1069" s="13"/>
      <c r="M1069" s="14"/>
      <c r="N1069" s="15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</row>
    <row r="1070">
      <c r="A1070" s="9">
        <v>1068.0</v>
      </c>
      <c r="B1070" s="10">
        <v>44033.0</v>
      </c>
      <c r="C1070" s="9" t="s">
        <v>1635</v>
      </c>
      <c r="D1070" s="11" t="s">
        <v>1943</v>
      </c>
      <c r="E1070" s="17">
        <f>+886937871493</f>
        <v>886937871493</v>
      </c>
      <c r="F1070" s="12" t="s">
        <v>1944</v>
      </c>
      <c r="G1070" s="9" t="s">
        <v>120</v>
      </c>
      <c r="H1070" s="9" t="s">
        <v>13</v>
      </c>
      <c r="I1070" s="13"/>
      <c r="J1070" s="13"/>
      <c r="K1070" s="14"/>
      <c r="L1070" s="13"/>
      <c r="M1070" s="14"/>
      <c r="N1070" s="15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</row>
    <row r="1071">
      <c r="A1071" s="9">
        <v>1069.0</v>
      </c>
      <c r="B1071" s="10">
        <v>44033.0</v>
      </c>
      <c r="C1071" s="9" t="s">
        <v>1635</v>
      </c>
      <c r="D1071" s="11" t="s">
        <v>1636</v>
      </c>
      <c r="E1071" s="17">
        <f>+447748643324</f>
        <v>447748643324</v>
      </c>
      <c r="F1071" s="12" t="s">
        <v>1945</v>
      </c>
      <c r="G1071" s="9" t="s">
        <v>120</v>
      </c>
      <c r="H1071" s="9" t="s">
        <v>13</v>
      </c>
      <c r="I1071" s="13"/>
      <c r="J1071" s="13"/>
      <c r="K1071" s="14"/>
      <c r="L1071" s="13"/>
      <c r="M1071" s="14"/>
      <c r="N1071" s="15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</row>
    <row r="1072">
      <c r="A1072" s="9">
        <v>1070.0</v>
      </c>
      <c r="B1072" s="10">
        <v>44033.0</v>
      </c>
      <c r="C1072" s="9" t="s">
        <v>1759</v>
      </c>
      <c r="D1072" s="11" t="s">
        <v>1946</v>
      </c>
      <c r="E1072" s="17">
        <f>+971524473569</f>
        <v>971524473569</v>
      </c>
      <c r="F1072" s="12" t="s">
        <v>1947</v>
      </c>
      <c r="G1072" s="9" t="s">
        <v>80</v>
      </c>
      <c r="H1072" s="9" t="s">
        <v>17</v>
      </c>
      <c r="I1072" s="13"/>
      <c r="J1072" s="13"/>
      <c r="K1072" s="14"/>
      <c r="L1072" s="13"/>
      <c r="M1072" s="14"/>
      <c r="N1072" s="15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</row>
    <row r="1073">
      <c r="A1073" s="9">
        <v>1071.0</v>
      </c>
      <c r="B1073" s="10">
        <v>44032.0</v>
      </c>
      <c r="C1073" s="9" t="s">
        <v>1461</v>
      </c>
      <c r="D1073" s="11" t="s">
        <v>1948</v>
      </c>
      <c r="E1073" s="9">
        <v>9.710504542544E12</v>
      </c>
      <c r="F1073" s="12" t="s">
        <v>1949</v>
      </c>
      <c r="G1073" s="9" t="s">
        <v>52</v>
      </c>
      <c r="H1073" s="9" t="s">
        <v>260</v>
      </c>
      <c r="I1073" s="13"/>
      <c r="J1073" s="13"/>
      <c r="K1073" s="14"/>
      <c r="L1073" s="13"/>
      <c r="M1073" s="14"/>
      <c r="N1073" s="15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</row>
    <row r="1074">
      <c r="A1074" s="9">
        <v>1072.0</v>
      </c>
      <c r="B1074" s="10">
        <v>44032.0</v>
      </c>
      <c r="C1074" s="9" t="s">
        <v>1461</v>
      </c>
      <c r="D1074" s="11" t="s">
        <v>1950</v>
      </c>
      <c r="E1074" s="9">
        <v>9.710553525271E12</v>
      </c>
      <c r="F1074" s="12" t="s">
        <v>1951</v>
      </c>
      <c r="G1074" s="9" t="s">
        <v>60</v>
      </c>
      <c r="H1074" s="9" t="s">
        <v>654</v>
      </c>
      <c r="I1074" s="13"/>
      <c r="J1074" s="13"/>
      <c r="K1074" s="14"/>
      <c r="L1074" s="13"/>
      <c r="M1074" s="14"/>
      <c r="N1074" s="15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</row>
    <row r="1075">
      <c r="A1075" s="9">
        <v>1073.0</v>
      </c>
      <c r="B1075" s="10">
        <v>44032.0</v>
      </c>
      <c r="C1075" s="9" t="s">
        <v>1461</v>
      </c>
      <c r="D1075" s="11" t="s">
        <v>113</v>
      </c>
      <c r="E1075" s="9">
        <v>9.710507117718E12</v>
      </c>
      <c r="F1075" s="12" t="s">
        <v>1952</v>
      </c>
      <c r="G1075" s="9" t="s">
        <v>20</v>
      </c>
      <c r="H1075" s="9" t="s">
        <v>21</v>
      </c>
      <c r="I1075" s="13"/>
      <c r="J1075" s="13"/>
      <c r="K1075" s="14"/>
      <c r="L1075" s="13"/>
      <c r="M1075" s="14"/>
      <c r="N1075" s="15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</row>
    <row r="1076">
      <c r="A1076" s="9">
        <v>1074.0</v>
      </c>
      <c r="B1076" s="10">
        <v>44032.0</v>
      </c>
      <c r="C1076" s="9" t="s">
        <v>47</v>
      </c>
      <c r="D1076" s="11" t="s">
        <v>1574</v>
      </c>
      <c r="E1076" s="17">
        <f>+9710564177763</f>
        <v>9710564177763</v>
      </c>
      <c r="F1076" s="12" t="s">
        <v>1953</v>
      </c>
      <c r="G1076" s="9" t="s">
        <v>12</v>
      </c>
      <c r="H1076" s="9" t="s">
        <v>17</v>
      </c>
      <c r="I1076" s="13"/>
      <c r="J1076" s="13"/>
      <c r="K1076" s="14"/>
      <c r="L1076" s="13"/>
      <c r="M1076" s="14"/>
      <c r="N1076" s="15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</row>
    <row r="1077">
      <c r="A1077" s="9">
        <v>1075.0</v>
      </c>
      <c r="B1077" s="10">
        <v>44032.0</v>
      </c>
      <c r="C1077" s="9" t="s">
        <v>47</v>
      </c>
      <c r="D1077" s="11" t="s">
        <v>1954</v>
      </c>
      <c r="E1077" s="17">
        <f>+971543230055</f>
        <v>971543230055</v>
      </c>
      <c r="F1077" s="12" t="s">
        <v>1955</v>
      </c>
      <c r="G1077" s="9" t="s">
        <v>364</v>
      </c>
      <c r="H1077" s="9" t="s">
        <v>206</v>
      </c>
      <c r="I1077" s="13"/>
      <c r="J1077" s="13"/>
      <c r="K1077" s="14"/>
      <c r="L1077" s="13"/>
      <c r="M1077" s="14"/>
      <c r="N1077" s="15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</row>
    <row r="1078">
      <c r="A1078" s="9">
        <v>1076.0</v>
      </c>
      <c r="B1078" s="10">
        <v>44032.0</v>
      </c>
      <c r="C1078" s="9" t="s">
        <v>47</v>
      </c>
      <c r="D1078" s="11" t="s">
        <v>1956</v>
      </c>
      <c r="E1078" s="17">
        <f>+9710561775203</f>
        <v>9710561775203</v>
      </c>
      <c r="F1078" s="12" t="s">
        <v>1957</v>
      </c>
      <c r="G1078" s="9" t="s">
        <v>52</v>
      </c>
      <c r="H1078" s="9" t="s">
        <v>17</v>
      </c>
      <c r="I1078" s="13"/>
      <c r="J1078" s="13"/>
      <c r="K1078" s="14"/>
      <c r="L1078" s="13"/>
      <c r="M1078" s="14"/>
      <c r="N1078" s="15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</row>
    <row r="1079">
      <c r="A1079" s="9">
        <v>1077.0</v>
      </c>
      <c r="B1079" s="10">
        <v>44032.0</v>
      </c>
      <c r="C1079" s="9" t="s">
        <v>47</v>
      </c>
      <c r="D1079" s="11" t="s">
        <v>1958</v>
      </c>
      <c r="E1079" s="9">
        <v>9.710504401808E12</v>
      </c>
      <c r="F1079" s="12" t="s">
        <v>1959</v>
      </c>
      <c r="G1079" s="9" t="s">
        <v>28</v>
      </c>
      <c r="H1079" s="9" t="s">
        <v>13</v>
      </c>
      <c r="I1079" s="13"/>
      <c r="J1079" s="13"/>
      <c r="K1079" s="14"/>
      <c r="L1079" s="13"/>
      <c r="M1079" s="14"/>
      <c r="N1079" s="15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</row>
    <row r="1080">
      <c r="A1080" s="9">
        <v>1078.0</v>
      </c>
      <c r="B1080" s="10">
        <v>44032.0</v>
      </c>
      <c r="C1080" s="9" t="s">
        <v>1759</v>
      </c>
      <c r="D1080" s="11" t="s">
        <v>1960</v>
      </c>
      <c r="E1080" s="17">
        <f>+971544849777</f>
        <v>971544849777</v>
      </c>
      <c r="F1080" s="12" t="s">
        <v>1961</v>
      </c>
      <c r="G1080" s="9" t="s">
        <v>80</v>
      </c>
      <c r="H1080" s="9" t="s">
        <v>41</v>
      </c>
      <c r="I1080" s="13"/>
      <c r="J1080" s="13"/>
      <c r="K1080" s="14"/>
      <c r="L1080" s="13"/>
      <c r="M1080" s="14"/>
      <c r="N1080" s="15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</row>
    <row r="1081">
      <c r="A1081" s="9">
        <v>1079.0</v>
      </c>
      <c r="B1081" s="10">
        <v>44032.0</v>
      </c>
      <c r="C1081" s="9" t="s">
        <v>1759</v>
      </c>
      <c r="D1081" s="11" t="s">
        <v>1962</v>
      </c>
      <c r="E1081" s="17">
        <f>+9710527339222</f>
        <v>9710527339222</v>
      </c>
      <c r="F1081" s="12" t="s">
        <v>1963</v>
      </c>
      <c r="G1081" s="9" t="s">
        <v>364</v>
      </c>
      <c r="H1081" s="9" t="s">
        <v>73</v>
      </c>
      <c r="I1081" s="13"/>
      <c r="J1081" s="13"/>
      <c r="K1081" s="14"/>
      <c r="L1081" s="13"/>
      <c r="M1081" s="14"/>
      <c r="N1081" s="15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</row>
    <row r="1082">
      <c r="A1082" s="9">
        <v>1080.0</v>
      </c>
      <c r="B1082" s="18">
        <v>44032.0</v>
      </c>
      <c r="C1082" s="19" t="s">
        <v>1759</v>
      </c>
      <c r="D1082" s="11" t="s">
        <v>1964</v>
      </c>
      <c r="E1082" s="24">
        <f>+971552428334</f>
        <v>971552428334</v>
      </c>
      <c r="F1082" s="12" t="s">
        <v>1965</v>
      </c>
      <c r="G1082" s="19" t="s">
        <v>300</v>
      </c>
      <c r="H1082" s="19" t="s">
        <v>17</v>
      </c>
      <c r="I1082" s="13"/>
      <c r="J1082" s="13"/>
      <c r="K1082" s="20"/>
      <c r="L1082" s="13"/>
      <c r="M1082" s="20"/>
      <c r="N1082" s="21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</row>
    <row r="1083">
      <c r="A1083" s="9">
        <v>1081.0</v>
      </c>
      <c r="B1083" s="10">
        <v>44032.0</v>
      </c>
      <c r="C1083" s="9" t="s">
        <v>1966</v>
      </c>
      <c r="D1083" s="11" t="s">
        <v>1967</v>
      </c>
      <c r="E1083" s="17">
        <f>+14036068808</f>
        <v>14036068808</v>
      </c>
      <c r="F1083" s="12" t="s">
        <v>1968</v>
      </c>
      <c r="G1083" s="9" t="s">
        <v>120</v>
      </c>
      <c r="H1083" s="9" t="s">
        <v>41</v>
      </c>
      <c r="I1083" s="13"/>
      <c r="J1083" s="13"/>
      <c r="K1083" s="14"/>
      <c r="L1083" s="13"/>
      <c r="M1083" s="14"/>
      <c r="N1083" s="15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</row>
    <row r="1084">
      <c r="A1084" s="9">
        <v>1082.0</v>
      </c>
      <c r="B1084" s="10">
        <v>44032.0</v>
      </c>
      <c r="C1084" s="9" t="s">
        <v>1759</v>
      </c>
      <c r="D1084" s="11" t="s">
        <v>1969</v>
      </c>
      <c r="E1084" s="17">
        <f>+971558845570</f>
        <v>971558845570</v>
      </c>
      <c r="F1084" s="12" t="s">
        <v>1970</v>
      </c>
      <c r="G1084" s="9" t="s">
        <v>80</v>
      </c>
      <c r="H1084" s="9" t="s">
        <v>81</v>
      </c>
      <c r="I1084" s="13"/>
      <c r="J1084" s="13"/>
      <c r="K1084" s="14"/>
      <c r="L1084" s="13"/>
      <c r="M1084" s="14"/>
      <c r="N1084" s="15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</row>
    <row r="1085">
      <c r="A1085" s="9">
        <v>1083.0</v>
      </c>
      <c r="B1085" s="10">
        <v>44031.0</v>
      </c>
      <c r="C1085" s="9" t="s">
        <v>47</v>
      </c>
      <c r="D1085" s="11" t="s">
        <v>1971</v>
      </c>
      <c r="E1085" s="17">
        <f>+971503990240</f>
        <v>971503990240</v>
      </c>
      <c r="F1085" s="12" t="s">
        <v>1972</v>
      </c>
      <c r="G1085" s="9" t="s">
        <v>400</v>
      </c>
      <c r="H1085" s="9" t="s">
        <v>17</v>
      </c>
      <c r="I1085" s="13"/>
      <c r="J1085" s="13"/>
      <c r="K1085" s="14"/>
      <c r="L1085" s="13"/>
      <c r="M1085" s="14"/>
      <c r="N1085" s="15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</row>
    <row r="1086">
      <c r="A1086" s="9">
        <v>1084.0</v>
      </c>
      <c r="B1086" s="10">
        <v>44031.0</v>
      </c>
      <c r="C1086" s="9" t="s">
        <v>47</v>
      </c>
      <c r="D1086" s="11" t="s">
        <v>1973</v>
      </c>
      <c r="E1086" s="17">
        <f>+971563837774</f>
        <v>971563837774</v>
      </c>
      <c r="F1086" s="12" t="s">
        <v>1974</v>
      </c>
      <c r="G1086" s="9" t="s">
        <v>400</v>
      </c>
      <c r="H1086" s="9" t="s">
        <v>17</v>
      </c>
      <c r="I1086" s="13"/>
      <c r="J1086" s="13"/>
      <c r="K1086" s="14"/>
      <c r="L1086" s="13"/>
      <c r="M1086" s="14"/>
      <c r="N1086" s="15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</row>
    <row r="1087">
      <c r="A1087" s="9">
        <v>1085.0</v>
      </c>
      <c r="B1087" s="10">
        <v>44031.0</v>
      </c>
      <c r="C1087" s="9" t="s">
        <v>47</v>
      </c>
      <c r="D1087" s="11" t="s">
        <v>1975</v>
      </c>
      <c r="E1087" s="17">
        <f>+9710561019399</f>
        <v>9710561019399</v>
      </c>
      <c r="F1087" s="12" t="s">
        <v>1976</v>
      </c>
      <c r="G1087" s="9" t="s">
        <v>80</v>
      </c>
      <c r="H1087" s="9" t="s">
        <v>17</v>
      </c>
      <c r="I1087" s="13"/>
      <c r="J1087" s="13"/>
      <c r="K1087" s="14"/>
      <c r="L1087" s="13"/>
      <c r="M1087" s="14"/>
      <c r="N1087" s="15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</row>
    <row r="1088">
      <c r="A1088" s="9">
        <v>1086.0</v>
      </c>
      <c r="B1088" s="10">
        <v>44031.0</v>
      </c>
      <c r="C1088" s="9" t="s">
        <v>47</v>
      </c>
      <c r="D1088" s="11" t="s">
        <v>1977</v>
      </c>
      <c r="E1088" s="17">
        <f>+9710525175699</f>
        <v>9710525175699</v>
      </c>
      <c r="F1088" s="12" t="s">
        <v>1978</v>
      </c>
      <c r="G1088" s="9" t="s">
        <v>627</v>
      </c>
      <c r="H1088" s="9" t="s">
        <v>41</v>
      </c>
      <c r="I1088" s="13"/>
      <c r="J1088" s="13"/>
      <c r="K1088" s="14"/>
      <c r="L1088" s="13"/>
      <c r="M1088" s="14"/>
      <c r="N1088" s="15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</row>
    <row r="1089">
      <c r="A1089" s="9">
        <v>1087.0</v>
      </c>
      <c r="B1089" s="10">
        <v>44031.0</v>
      </c>
      <c r="C1089" s="9" t="s">
        <v>1635</v>
      </c>
      <c r="D1089" s="11" t="s">
        <v>1979</v>
      </c>
      <c r="E1089" s="17">
        <f>+14168397826</f>
        <v>14168397826</v>
      </c>
      <c r="F1089" s="12" t="s">
        <v>1980</v>
      </c>
      <c r="G1089" s="9" t="s">
        <v>123</v>
      </c>
      <c r="H1089" s="9" t="s">
        <v>41</v>
      </c>
      <c r="I1089" s="13"/>
      <c r="J1089" s="13"/>
      <c r="K1089" s="14"/>
      <c r="L1089" s="13"/>
      <c r="M1089" s="14"/>
      <c r="N1089" s="15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</row>
    <row r="1090">
      <c r="A1090" s="9">
        <v>1088.0</v>
      </c>
      <c r="B1090" s="10">
        <v>44031.0</v>
      </c>
      <c r="C1090" s="9" t="s">
        <v>47</v>
      </c>
      <c r="D1090" s="11" t="s">
        <v>1981</v>
      </c>
      <c r="E1090" s="17">
        <f>+971551774568</f>
        <v>971551774568</v>
      </c>
      <c r="F1090" s="12" t="s">
        <v>1982</v>
      </c>
      <c r="G1090" s="9" t="s">
        <v>300</v>
      </c>
      <c r="H1090" s="9" t="s">
        <v>17</v>
      </c>
      <c r="I1090" s="13"/>
      <c r="J1090" s="13"/>
      <c r="K1090" s="14"/>
      <c r="L1090" s="13"/>
      <c r="M1090" s="14"/>
      <c r="N1090" s="15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</row>
    <row r="1091">
      <c r="A1091" s="9">
        <v>1089.0</v>
      </c>
      <c r="B1091" s="10">
        <v>44031.0</v>
      </c>
      <c r="C1091" s="9" t="s">
        <v>47</v>
      </c>
      <c r="D1091" s="11" t="s">
        <v>1983</v>
      </c>
      <c r="E1091" s="17">
        <f>+971555539429</f>
        <v>971555539429</v>
      </c>
      <c r="F1091" s="12" t="s">
        <v>1984</v>
      </c>
      <c r="G1091" s="9" t="s">
        <v>12</v>
      </c>
      <c r="H1091" s="9" t="s">
        <v>260</v>
      </c>
      <c r="I1091" s="13"/>
      <c r="J1091" s="13"/>
      <c r="K1091" s="14"/>
      <c r="L1091" s="13"/>
      <c r="M1091" s="14"/>
      <c r="N1091" s="15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</row>
    <row r="1092">
      <c r="A1092" s="9">
        <v>1090.0</v>
      </c>
      <c r="B1092" s="10">
        <v>44031.0</v>
      </c>
      <c r="C1092" s="9" t="s">
        <v>1635</v>
      </c>
      <c r="D1092" s="11" t="s">
        <v>1985</v>
      </c>
      <c r="E1092" s="17">
        <f>+8613809252554</f>
        <v>8613809252554</v>
      </c>
      <c r="F1092" s="12" t="s">
        <v>1986</v>
      </c>
      <c r="G1092" s="9" t="s">
        <v>1987</v>
      </c>
      <c r="H1092" s="9" t="s">
        <v>13</v>
      </c>
      <c r="I1092" s="13"/>
      <c r="J1092" s="13"/>
      <c r="K1092" s="14"/>
      <c r="L1092" s="13"/>
      <c r="M1092" s="14"/>
      <c r="N1092" s="15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</row>
    <row r="1093">
      <c r="A1093" s="9">
        <v>1091.0</v>
      </c>
      <c r="B1093" s="10">
        <v>44031.0</v>
      </c>
      <c r="C1093" s="9" t="s">
        <v>1635</v>
      </c>
      <c r="D1093" s="11" t="s">
        <v>1988</v>
      </c>
      <c r="E1093" s="17">
        <f>+61437289979</f>
        <v>61437289979</v>
      </c>
      <c r="F1093" s="12" t="s">
        <v>1989</v>
      </c>
      <c r="G1093" s="9" t="s">
        <v>1881</v>
      </c>
      <c r="H1093" s="9" t="s">
        <v>41</v>
      </c>
      <c r="I1093" s="13"/>
      <c r="J1093" s="13"/>
      <c r="K1093" s="14"/>
      <c r="L1093" s="13"/>
      <c r="M1093" s="14"/>
      <c r="N1093" s="15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</row>
    <row r="1094">
      <c r="A1094" s="9">
        <v>1092.0</v>
      </c>
      <c r="B1094" s="10">
        <v>44031.0</v>
      </c>
      <c r="C1094" s="9" t="s">
        <v>47</v>
      </c>
      <c r="D1094" s="11" t="s">
        <v>1990</v>
      </c>
      <c r="E1094" s="17">
        <f>+971559062027</f>
        <v>971559062027</v>
      </c>
      <c r="F1094" s="12" t="s">
        <v>1991</v>
      </c>
      <c r="G1094" s="9" t="s">
        <v>176</v>
      </c>
      <c r="H1094" s="9" t="s">
        <v>41</v>
      </c>
      <c r="I1094" s="13"/>
      <c r="J1094" s="13"/>
      <c r="K1094" s="14"/>
      <c r="L1094" s="13"/>
      <c r="M1094" s="14"/>
      <c r="N1094" s="15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</row>
    <row r="1095">
      <c r="A1095" s="9">
        <v>1093.0</v>
      </c>
      <c r="B1095" s="10">
        <v>44031.0</v>
      </c>
      <c r="C1095" s="9" t="s">
        <v>401</v>
      </c>
      <c r="D1095" s="16" t="s">
        <v>1992</v>
      </c>
      <c r="E1095" s="17">
        <f>+966540644514</f>
        <v>966540644514</v>
      </c>
      <c r="F1095" s="12" t="s">
        <v>1993</v>
      </c>
      <c r="G1095" s="9" t="s">
        <v>25</v>
      </c>
      <c r="H1095" s="9" t="s">
        <v>13</v>
      </c>
      <c r="I1095" s="13"/>
      <c r="J1095" s="13"/>
      <c r="K1095" s="14"/>
      <c r="L1095" s="13"/>
      <c r="M1095" s="22"/>
      <c r="N1095" s="15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</row>
    <row r="1096">
      <c r="A1096" s="9">
        <v>1094.0</v>
      </c>
      <c r="B1096" s="10">
        <v>44031.0</v>
      </c>
      <c r="C1096" s="9" t="s">
        <v>401</v>
      </c>
      <c r="D1096" s="16" t="s">
        <v>1994</v>
      </c>
      <c r="E1096" s="17">
        <f>+966500341661</f>
        <v>966500341661</v>
      </c>
      <c r="F1096" s="12" t="s">
        <v>1995</v>
      </c>
      <c r="G1096" s="9" t="s">
        <v>25</v>
      </c>
      <c r="H1096" s="9" t="s">
        <v>13</v>
      </c>
      <c r="I1096" s="13"/>
      <c r="J1096" s="13"/>
      <c r="K1096" s="14"/>
      <c r="L1096" s="13"/>
      <c r="M1096" s="22"/>
      <c r="N1096" s="15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</row>
    <row r="1097">
      <c r="A1097" s="9">
        <v>1095.0</v>
      </c>
      <c r="B1097" s="10">
        <v>44031.0</v>
      </c>
      <c r="C1097" s="9" t="s">
        <v>47</v>
      </c>
      <c r="D1097" s="16" t="s">
        <v>1996</v>
      </c>
      <c r="E1097" s="9">
        <v>5.04221144E8</v>
      </c>
      <c r="F1097" s="12" t="s">
        <v>1997</v>
      </c>
      <c r="G1097" s="9" t="s">
        <v>80</v>
      </c>
      <c r="H1097" s="9" t="s">
        <v>337</v>
      </c>
      <c r="I1097" s="13"/>
      <c r="J1097" s="13"/>
      <c r="K1097" s="14"/>
      <c r="L1097" s="13"/>
      <c r="M1097" s="22"/>
      <c r="N1097" s="15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</row>
    <row r="1098">
      <c r="A1098" s="9">
        <v>1096.0</v>
      </c>
      <c r="B1098" s="10">
        <v>44030.0</v>
      </c>
      <c r="C1098" s="9" t="s">
        <v>47</v>
      </c>
      <c r="D1098" s="11" t="s">
        <v>1998</v>
      </c>
      <c r="E1098" s="9">
        <v>5.04290099E8</v>
      </c>
      <c r="F1098" s="12" t="s">
        <v>1999</v>
      </c>
      <c r="G1098" s="9" t="s">
        <v>134</v>
      </c>
      <c r="H1098" s="9" t="s">
        <v>41</v>
      </c>
      <c r="I1098" s="13"/>
      <c r="J1098" s="13"/>
      <c r="K1098" s="14"/>
      <c r="L1098" s="13"/>
      <c r="M1098" s="14"/>
      <c r="N1098" s="15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</row>
    <row r="1099">
      <c r="A1099" s="9">
        <v>1097.0</v>
      </c>
      <c r="B1099" s="10">
        <v>44030.0</v>
      </c>
      <c r="C1099" s="9" t="s">
        <v>47</v>
      </c>
      <c r="D1099" s="11" t="s">
        <v>2000</v>
      </c>
      <c r="E1099" s="17">
        <f>+971555705669</f>
        <v>971555705669</v>
      </c>
      <c r="F1099" s="12" t="s">
        <v>2001</v>
      </c>
      <c r="G1099" s="9" t="s">
        <v>20</v>
      </c>
      <c r="H1099" s="9" t="s">
        <v>654</v>
      </c>
      <c r="I1099" s="13"/>
      <c r="J1099" s="13"/>
      <c r="K1099" s="14"/>
      <c r="L1099" s="13"/>
      <c r="M1099" s="14"/>
      <c r="N1099" s="15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</row>
    <row r="1100">
      <c r="A1100" s="9">
        <v>1098.0</v>
      </c>
      <c r="B1100" s="10">
        <v>44030.0</v>
      </c>
      <c r="C1100" s="9" t="s">
        <v>47</v>
      </c>
      <c r="D1100" s="11" t="s">
        <v>2002</v>
      </c>
      <c r="E1100" s="9">
        <v>5.0641611E8</v>
      </c>
      <c r="F1100" s="12" t="s">
        <v>2003</v>
      </c>
      <c r="G1100" s="9" t="s">
        <v>432</v>
      </c>
      <c r="H1100" s="9" t="s">
        <v>81</v>
      </c>
      <c r="I1100" s="13"/>
      <c r="J1100" s="13"/>
      <c r="K1100" s="14"/>
      <c r="L1100" s="13"/>
      <c r="M1100" s="14"/>
      <c r="N1100" s="15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</row>
    <row r="1101">
      <c r="A1101" s="9">
        <v>1099.0</v>
      </c>
      <c r="B1101" s="10">
        <v>44030.0</v>
      </c>
      <c r="C1101" s="9" t="s">
        <v>47</v>
      </c>
      <c r="D1101" s="16" t="s">
        <v>2004</v>
      </c>
      <c r="E1101" s="17">
        <f>+971508688646</f>
        <v>971508688646</v>
      </c>
      <c r="F1101" s="12" t="s">
        <v>2005</v>
      </c>
      <c r="G1101" s="9" t="s">
        <v>80</v>
      </c>
      <c r="H1101" s="9" t="s">
        <v>41</v>
      </c>
      <c r="I1101" s="13"/>
      <c r="J1101" s="13"/>
      <c r="K1101" s="14"/>
      <c r="L1101" s="13"/>
      <c r="M1101" s="22"/>
      <c r="N1101" s="15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</row>
    <row r="1102">
      <c r="A1102" s="9">
        <v>1100.0</v>
      </c>
      <c r="B1102" s="10">
        <v>44030.0</v>
      </c>
      <c r="C1102" s="9" t="s">
        <v>47</v>
      </c>
      <c r="D1102" s="11" t="s">
        <v>2006</v>
      </c>
      <c r="E1102" s="17">
        <f>+919991044226</f>
        <v>919991044226</v>
      </c>
      <c r="F1102" s="12" t="s">
        <v>2007</v>
      </c>
      <c r="G1102" s="9" t="s">
        <v>80</v>
      </c>
      <c r="H1102" s="9" t="s">
        <v>41</v>
      </c>
      <c r="I1102" s="13"/>
      <c r="J1102" s="13"/>
      <c r="K1102" s="14"/>
      <c r="L1102" s="13"/>
      <c r="M1102" s="14"/>
      <c r="N1102" s="15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</row>
    <row r="1103">
      <c r="A1103" s="9">
        <v>1101.0</v>
      </c>
      <c r="B1103" s="10">
        <v>44030.0</v>
      </c>
      <c r="C1103" s="9" t="s">
        <v>47</v>
      </c>
      <c r="D1103" s="11" t="s">
        <v>1786</v>
      </c>
      <c r="E1103" s="17">
        <f>+9710585908057</f>
        <v>9710585908057</v>
      </c>
      <c r="F1103" s="12" t="s">
        <v>2008</v>
      </c>
      <c r="G1103" s="9" t="s">
        <v>176</v>
      </c>
      <c r="H1103" s="9" t="s">
        <v>41</v>
      </c>
      <c r="I1103" s="13"/>
      <c r="J1103" s="13"/>
      <c r="K1103" s="14"/>
      <c r="L1103" s="13"/>
      <c r="M1103" s="14"/>
      <c r="N1103" s="15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</row>
    <row r="1104">
      <c r="A1104" s="9">
        <v>1102.0</v>
      </c>
      <c r="B1104" s="10">
        <v>44030.0</v>
      </c>
      <c r="C1104" s="9" t="s">
        <v>47</v>
      </c>
      <c r="D1104" s="11" t="s">
        <v>2009</v>
      </c>
      <c r="E1104" s="17">
        <f>+971506912026</f>
        <v>971506912026</v>
      </c>
      <c r="F1104" s="12" t="s">
        <v>2010</v>
      </c>
      <c r="G1104" s="9" t="s">
        <v>109</v>
      </c>
      <c r="H1104" s="9" t="s">
        <v>17</v>
      </c>
      <c r="I1104" s="13"/>
      <c r="J1104" s="13"/>
      <c r="K1104" s="14"/>
      <c r="L1104" s="13"/>
      <c r="M1104" s="14"/>
      <c r="N1104" s="15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</row>
    <row r="1105">
      <c r="A1105" s="9">
        <v>1103.0</v>
      </c>
      <c r="B1105" s="10">
        <v>44030.0</v>
      </c>
      <c r="C1105" s="9" t="s">
        <v>47</v>
      </c>
      <c r="D1105" s="11" t="s">
        <v>2011</v>
      </c>
      <c r="E1105" s="17">
        <f>+971557564862</f>
        <v>971557564862</v>
      </c>
      <c r="F1105" s="12" t="s">
        <v>2012</v>
      </c>
      <c r="G1105" s="9" t="s">
        <v>176</v>
      </c>
      <c r="H1105" s="9" t="s">
        <v>21</v>
      </c>
      <c r="I1105" s="13"/>
      <c r="J1105" s="13"/>
      <c r="K1105" s="14"/>
      <c r="L1105" s="13"/>
      <c r="M1105" s="14"/>
      <c r="N1105" s="15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</row>
    <row r="1106">
      <c r="A1106" s="9">
        <v>1104.0</v>
      </c>
      <c r="B1106" s="10">
        <v>44033.0</v>
      </c>
      <c r="C1106" s="9" t="s">
        <v>401</v>
      </c>
      <c r="D1106" s="11" t="s">
        <v>2013</v>
      </c>
      <c r="E1106" s="17">
        <f>+966556034760</f>
        <v>966556034760</v>
      </c>
      <c r="F1106" s="12" t="s">
        <v>2014</v>
      </c>
      <c r="G1106" s="9" t="s">
        <v>184</v>
      </c>
      <c r="H1106" s="9" t="s">
        <v>385</v>
      </c>
      <c r="I1106" s="13"/>
      <c r="J1106" s="13"/>
      <c r="K1106" s="14"/>
      <c r="L1106" s="13"/>
      <c r="M1106" s="14"/>
      <c r="N1106" s="15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</row>
    <row r="1107">
      <c r="A1107" s="9">
        <v>1105.0</v>
      </c>
      <c r="B1107" s="10">
        <v>44031.0</v>
      </c>
      <c r="C1107" s="9" t="s">
        <v>1635</v>
      </c>
      <c r="D1107" s="11" t="s">
        <v>2015</v>
      </c>
      <c r="E1107" s="17">
        <f>+16042183288</f>
        <v>16042183288</v>
      </c>
      <c r="F1107" s="12" t="s">
        <v>2016</v>
      </c>
      <c r="G1107" s="9" t="s">
        <v>414</v>
      </c>
      <c r="H1107" s="9" t="s">
        <v>41</v>
      </c>
      <c r="I1107" s="13"/>
      <c r="J1107" s="13"/>
      <c r="K1107" s="14"/>
      <c r="L1107" s="13"/>
      <c r="M1107" s="14"/>
      <c r="N1107" s="15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</row>
    <row r="1108">
      <c r="A1108" s="9">
        <v>1106.0</v>
      </c>
      <c r="B1108" s="10">
        <v>44030.0</v>
      </c>
      <c r="C1108" s="9" t="s">
        <v>47</v>
      </c>
      <c r="D1108" s="11" t="s">
        <v>2017</v>
      </c>
      <c r="E1108" s="17">
        <f>+971505585109</f>
        <v>971505585109</v>
      </c>
      <c r="F1108" s="12" t="s">
        <v>2018</v>
      </c>
      <c r="G1108" s="9" t="s">
        <v>176</v>
      </c>
      <c r="H1108" s="9" t="s">
        <v>81</v>
      </c>
      <c r="I1108" s="13"/>
      <c r="J1108" s="13"/>
      <c r="K1108" s="14"/>
      <c r="L1108" s="13"/>
      <c r="M1108" s="14"/>
      <c r="N1108" s="15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</row>
    <row r="1109">
      <c r="A1109" s="9">
        <v>1107.0</v>
      </c>
      <c r="B1109" s="10">
        <v>44030.0</v>
      </c>
      <c r="C1109" s="9" t="s">
        <v>47</v>
      </c>
      <c r="D1109" s="11" t="s">
        <v>2019</v>
      </c>
      <c r="E1109" s="17">
        <f>+971544427195</f>
        <v>971544427195</v>
      </c>
      <c r="F1109" s="12" t="s">
        <v>2020</v>
      </c>
      <c r="G1109" s="9" t="s">
        <v>80</v>
      </c>
      <c r="H1109" s="9" t="s">
        <v>206</v>
      </c>
      <c r="I1109" s="13"/>
      <c r="J1109" s="13"/>
      <c r="K1109" s="14"/>
      <c r="L1109" s="13"/>
      <c r="M1109" s="14"/>
      <c r="N1109" s="15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</row>
    <row r="1110">
      <c r="A1110" s="9">
        <v>1108.0</v>
      </c>
      <c r="B1110" s="10">
        <v>44030.0</v>
      </c>
      <c r="C1110" s="9" t="s">
        <v>47</v>
      </c>
      <c r="D1110" s="11" t="s">
        <v>2021</v>
      </c>
      <c r="E1110" s="17">
        <f>+9710566664881</f>
        <v>9710566664881</v>
      </c>
      <c r="F1110" s="12" t="s">
        <v>2022</v>
      </c>
      <c r="G1110" s="9" t="s">
        <v>627</v>
      </c>
      <c r="H1110" s="9" t="s">
        <v>17</v>
      </c>
      <c r="I1110" s="13"/>
      <c r="J1110" s="13"/>
      <c r="K1110" s="14"/>
      <c r="L1110" s="13"/>
      <c r="M1110" s="14"/>
      <c r="N1110" s="15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</row>
    <row r="1111">
      <c r="A1111" s="9">
        <v>1109.0</v>
      </c>
      <c r="B1111" s="10">
        <v>44030.0</v>
      </c>
      <c r="C1111" s="9" t="s">
        <v>401</v>
      </c>
      <c r="D1111" s="16" t="s">
        <v>1231</v>
      </c>
      <c r="E1111" s="17">
        <f>+966555870004</f>
        <v>966555870004</v>
      </c>
      <c r="F1111" s="12" t="s">
        <v>2023</v>
      </c>
      <c r="G1111" s="9" t="s">
        <v>184</v>
      </c>
      <c r="H1111" s="9" t="s">
        <v>385</v>
      </c>
      <c r="I1111" s="13"/>
      <c r="J1111" s="13"/>
      <c r="K1111" s="14"/>
      <c r="L1111" s="13"/>
      <c r="M1111" s="22"/>
      <c r="N1111" s="15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</row>
    <row r="1112">
      <c r="A1112" s="9">
        <v>1110.0</v>
      </c>
      <c r="B1112" s="10">
        <v>44029.0</v>
      </c>
      <c r="C1112" s="9" t="s">
        <v>47</v>
      </c>
      <c r="D1112" s="11" t="s">
        <v>2024</v>
      </c>
      <c r="E1112" s="17">
        <f>+971502015787</f>
        <v>971502015787</v>
      </c>
      <c r="F1112" s="12" t="s">
        <v>2025</v>
      </c>
      <c r="G1112" s="9" t="s">
        <v>80</v>
      </c>
      <c r="H1112" s="9" t="s">
        <v>81</v>
      </c>
      <c r="I1112" s="13"/>
      <c r="J1112" s="13"/>
      <c r="K1112" s="14"/>
      <c r="L1112" s="13"/>
      <c r="M1112" s="14"/>
      <c r="N1112" s="15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</row>
    <row r="1113">
      <c r="A1113" s="9">
        <v>1111.0</v>
      </c>
      <c r="B1113" s="10">
        <v>44029.0</v>
      </c>
      <c r="C1113" s="9" t="s">
        <v>47</v>
      </c>
      <c r="D1113" s="11" t="s">
        <v>2026</v>
      </c>
      <c r="E1113" s="17">
        <f>+97339604275</f>
        <v>97339604275</v>
      </c>
      <c r="F1113" s="12" t="s">
        <v>1106</v>
      </c>
      <c r="G1113" s="9" t="s">
        <v>400</v>
      </c>
      <c r="H1113" s="9" t="s">
        <v>41</v>
      </c>
      <c r="I1113" s="13"/>
      <c r="J1113" s="13"/>
      <c r="K1113" s="14"/>
      <c r="L1113" s="13"/>
      <c r="M1113" s="14"/>
      <c r="N1113" s="15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</row>
    <row r="1114">
      <c r="A1114" s="9">
        <v>1112.0</v>
      </c>
      <c r="B1114" s="10">
        <v>44029.0</v>
      </c>
      <c r="C1114" s="9" t="s">
        <v>47</v>
      </c>
      <c r="D1114" s="11" t="s">
        <v>2027</v>
      </c>
      <c r="E1114" s="17">
        <f>+971505879906</f>
        <v>971505879906</v>
      </c>
      <c r="F1114" s="12" t="s">
        <v>2028</v>
      </c>
      <c r="G1114" s="9" t="s">
        <v>627</v>
      </c>
      <c r="H1114" s="9" t="s">
        <v>17</v>
      </c>
      <c r="I1114" s="13"/>
      <c r="J1114" s="13"/>
      <c r="K1114" s="14"/>
      <c r="L1114" s="13"/>
      <c r="M1114" s="14"/>
      <c r="N1114" s="15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</row>
    <row r="1115">
      <c r="A1115" s="9">
        <v>1113.0</v>
      </c>
      <c r="B1115" s="10">
        <v>44029.0</v>
      </c>
      <c r="C1115" s="9" t="s">
        <v>47</v>
      </c>
      <c r="D1115" s="11" t="s">
        <v>2029</v>
      </c>
      <c r="E1115" s="17">
        <f>+971502263390</f>
        <v>971502263390</v>
      </c>
      <c r="F1115" s="12" t="s">
        <v>2030</v>
      </c>
      <c r="G1115" s="9" t="s">
        <v>432</v>
      </c>
      <c r="H1115" s="9" t="s">
        <v>17</v>
      </c>
      <c r="I1115" s="13"/>
      <c r="J1115" s="13"/>
      <c r="K1115" s="14"/>
      <c r="L1115" s="13"/>
      <c r="M1115" s="14"/>
      <c r="N1115" s="15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</row>
    <row r="1116">
      <c r="A1116" s="9">
        <v>1114.0</v>
      </c>
      <c r="B1116" s="10">
        <v>44029.0</v>
      </c>
      <c r="C1116" s="9" t="s">
        <v>47</v>
      </c>
      <c r="D1116" s="11" t="s">
        <v>1824</v>
      </c>
      <c r="E1116" s="17">
        <f>+971555543516</f>
        <v>971555543516</v>
      </c>
      <c r="F1116" s="12" t="s">
        <v>2031</v>
      </c>
      <c r="G1116" s="9" t="s">
        <v>432</v>
      </c>
      <c r="H1116" s="9" t="s">
        <v>17</v>
      </c>
      <c r="I1116" s="13"/>
      <c r="J1116" s="13"/>
      <c r="K1116" s="14"/>
      <c r="L1116" s="13"/>
      <c r="M1116" s="14"/>
      <c r="N1116" s="15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</row>
    <row r="1117">
      <c r="A1117" s="9">
        <v>1115.0</v>
      </c>
      <c r="B1117" s="10">
        <v>44029.0</v>
      </c>
      <c r="C1117" s="9" t="s">
        <v>47</v>
      </c>
      <c r="D1117" s="11" t="s">
        <v>2032</v>
      </c>
      <c r="E1117" s="17">
        <f>+971501317254</f>
        <v>971501317254</v>
      </c>
      <c r="F1117" s="12" t="s">
        <v>2033</v>
      </c>
      <c r="G1117" s="9" t="s">
        <v>627</v>
      </c>
      <c r="H1117" s="9" t="s">
        <v>17</v>
      </c>
      <c r="I1117" s="13"/>
      <c r="J1117" s="13"/>
      <c r="K1117" s="14"/>
      <c r="L1117" s="13"/>
      <c r="M1117" s="14"/>
      <c r="N1117" s="15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</row>
    <row r="1118">
      <c r="A1118" s="9">
        <v>1116.0</v>
      </c>
      <c r="B1118" s="10">
        <v>44029.0</v>
      </c>
      <c r="C1118" s="9" t="s">
        <v>47</v>
      </c>
      <c r="D1118" s="16" t="s">
        <v>2034</v>
      </c>
      <c r="E1118" s="17">
        <f>+971556408969</f>
        <v>971556408969</v>
      </c>
      <c r="F1118" s="12" t="s">
        <v>2035</v>
      </c>
      <c r="G1118" s="9" t="s">
        <v>40</v>
      </c>
      <c r="H1118" s="9" t="s">
        <v>41</v>
      </c>
      <c r="I1118" s="13"/>
      <c r="J1118" s="13"/>
      <c r="K1118" s="14"/>
      <c r="L1118" s="13"/>
      <c r="M1118" s="22"/>
      <c r="N1118" s="15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</row>
    <row r="1119">
      <c r="A1119" s="9">
        <v>1117.0</v>
      </c>
      <c r="B1119" s="10">
        <v>44028.0</v>
      </c>
      <c r="C1119" s="9" t="s">
        <v>47</v>
      </c>
      <c r="D1119" s="11" t="s">
        <v>2036</v>
      </c>
      <c r="E1119" s="17">
        <f>+971504486640</f>
        <v>971504486640</v>
      </c>
      <c r="F1119" s="12" t="s">
        <v>2037</v>
      </c>
      <c r="G1119" s="9" t="s">
        <v>300</v>
      </c>
      <c r="H1119" s="9" t="s">
        <v>17</v>
      </c>
      <c r="I1119" s="13"/>
      <c r="J1119" s="13"/>
      <c r="K1119" s="14"/>
      <c r="L1119" s="13"/>
      <c r="M1119" s="14"/>
      <c r="N1119" s="15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</row>
    <row r="1120">
      <c r="A1120" s="9">
        <v>1118.0</v>
      </c>
      <c r="B1120" s="10">
        <v>44028.0</v>
      </c>
      <c r="C1120" s="9" t="s">
        <v>47</v>
      </c>
      <c r="D1120" s="11" t="s">
        <v>2038</v>
      </c>
      <c r="E1120" s="17">
        <f>+9710554425852</f>
        <v>9710554425852</v>
      </c>
      <c r="F1120" s="12" t="s">
        <v>2039</v>
      </c>
      <c r="G1120" s="9" t="s">
        <v>300</v>
      </c>
      <c r="H1120" s="9" t="s">
        <v>41</v>
      </c>
      <c r="I1120" s="13"/>
      <c r="J1120" s="13"/>
      <c r="K1120" s="14"/>
      <c r="L1120" s="13"/>
      <c r="M1120" s="14"/>
      <c r="N1120" s="15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</row>
    <row r="1121">
      <c r="A1121" s="9">
        <v>1119.0</v>
      </c>
      <c r="B1121" s="10">
        <v>44028.0</v>
      </c>
      <c r="C1121" s="9" t="s">
        <v>47</v>
      </c>
      <c r="D1121" s="11" t="s">
        <v>2040</v>
      </c>
      <c r="E1121" s="17">
        <f>+9710507278105</f>
        <v>9710507278105</v>
      </c>
      <c r="F1121" s="12" t="s">
        <v>2041</v>
      </c>
      <c r="G1121" s="9" t="s">
        <v>249</v>
      </c>
      <c r="H1121" s="9" t="s">
        <v>17</v>
      </c>
      <c r="I1121" s="13"/>
      <c r="J1121" s="13"/>
      <c r="K1121" s="14"/>
      <c r="L1121" s="13"/>
      <c r="M1121" s="14"/>
      <c r="N1121" s="15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</row>
    <row r="1122">
      <c r="A1122" s="9">
        <v>1120.0</v>
      </c>
      <c r="B1122" s="10">
        <v>44028.0</v>
      </c>
      <c r="C1122" s="9" t="s">
        <v>47</v>
      </c>
      <c r="D1122" s="11" t="s">
        <v>2042</v>
      </c>
      <c r="E1122" s="17">
        <f>+9710551235203</f>
        <v>9710551235203</v>
      </c>
      <c r="F1122" s="12" t="s">
        <v>2043</v>
      </c>
      <c r="G1122" s="9" t="s">
        <v>12</v>
      </c>
      <c r="H1122" s="9" t="s">
        <v>206</v>
      </c>
      <c r="I1122" s="13"/>
      <c r="J1122" s="13"/>
      <c r="K1122" s="14"/>
      <c r="L1122" s="13"/>
      <c r="M1122" s="14"/>
      <c r="N1122" s="15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</row>
    <row r="1123">
      <c r="A1123" s="9">
        <v>1121.0</v>
      </c>
      <c r="B1123" s="10">
        <v>44028.0</v>
      </c>
      <c r="C1123" s="9" t="s">
        <v>47</v>
      </c>
      <c r="D1123" s="11" t="s">
        <v>2044</v>
      </c>
      <c r="E1123" s="17">
        <f>+9710503128797</f>
        <v>9710503128797</v>
      </c>
      <c r="F1123" s="12" t="s">
        <v>2045</v>
      </c>
      <c r="G1123" s="9" t="s">
        <v>432</v>
      </c>
      <c r="H1123" s="9" t="s">
        <v>81</v>
      </c>
      <c r="I1123" s="13"/>
      <c r="J1123" s="13"/>
      <c r="K1123" s="14"/>
      <c r="L1123" s="13"/>
      <c r="M1123" s="14"/>
      <c r="N1123" s="15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</row>
    <row r="1124">
      <c r="A1124" s="9">
        <v>1122.0</v>
      </c>
      <c r="B1124" s="10">
        <v>44028.0</v>
      </c>
      <c r="C1124" s="9" t="s">
        <v>1635</v>
      </c>
      <c r="D1124" s="11" t="s">
        <v>2046</v>
      </c>
      <c r="E1124" s="17">
        <f>+85292351428</f>
        <v>85292351428</v>
      </c>
      <c r="F1124" s="12" t="s">
        <v>2047</v>
      </c>
      <c r="G1124" s="9" t="s">
        <v>1881</v>
      </c>
      <c r="H1124" s="9" t="s">
        <v>41</v>
      </c>
      <c r="I1124" s="13"/>
      <c r="J1124" s="13"/>
      <c r="K1124" s="14"/>
      <c r="L1124" s="13"/>
      <c r="M1124" s="14"/>
      <c r="N1124" s="15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</row>
    <row r="1125">
      <c r="A1125" s="9">
        <v>1123.0</v>
      </c>
      <c r="B1125" s="10">
        <v>44028.0</v>
      </c>
      <c r="C1125" s="9" t="s">
        <v>47</v>
      </c>
      <c r="D1125" s="11" t="s">
        <v>2048</v>
      </c>
      <c r="E1125" s="17">
        <f>+971522156710</f>
        <v>971522156710</v>
      </c>
      <c r="F1125" s="12" t="s">
        <v>2049</v>
      </c>
      <c r="G1125" s="9" t="s">
        <v>627</v>
      </c>
      <c r="H1125" s="9" t="s">
        <v>41</v>
      </c>
      <c r="I1125" s="13"/>
      <c r="J1125" s="13"/>
      <c r="K1125" s="14"/>
      <c r="L1125" s="13"/>
      <c r="M1125" s="14"/>
      <c r="N1125" s="15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</row>
    <row r="1126">
      <c r="A1126" s="9">
        <v>1124.0</v>
      </c>
      <c r="B1126" s="10">
        <v>44028.0</v>
      </c>
      <c r="C1126" s="9" t="s">
        <v>47</v>
      </c>
      <c r="D1126" s="11" t="s">
        <v>2050</v>
      </c>
      <c r="E1126" s="17">
        <f>+9710506220886</f>
        <v>9710506220886</v>
      </c>
      <c r="F1126" s="12" t="s">
        <v>2051</v>
      </c>
      <c r="G1126" s="9" t="s">
        <v>80</v>
      </c>
      <c r="H1126" s="9" t="s">
        <v>41</v>
      </c>
      <c r="I1126" s="13"/>
      <c r="J1126" s="13"/>
      <c r="K1126" s="14"/>
      <c r="L1126" s="13"/>
      <c r="M1126" s="14"/>
      <c r="N1126" s="15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</row>
    <row r="1127">
      <c r="A1127" s="9">
        <v>1125.0</v>
      </c>
      <c r="B1127" s="10">
        <v>44028.0</v>
      </c>
      <c r="C1127" s="9" t="s">
        <v>47</v>
      </c>
      <c r="D1127" s="11" t="s">
        <v>2052</v>
      </c>
      <c r="E1127" s="17">
        <f>+971567209696</f>
        <v>971567209696</v>
      </c>
      <c r="F1127" s="12" t="s">
        <v>2053</v>
      </c>
      <c r="G1127" s="9" t="s">
        <v>12</v>
      </c>
      <c r="H1127" s="9" t="s">
        <v>17</v>
      </c>
      <c r="I1127" s="13"/>
      <c r="J1127" s="13"/>
      <c r="K1127" s="14"/>
      <c r="L1127" s="13"/>
      <c r="M1127" s="14"/>
      <c r="N1127" s="15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</row>
    <row r="1128">
      <c r="A1128" s="9">
        <v>1126.0</v>
      </c>
      <c r="B1128" s="10">
        <v>44028.0</v>
      </c>
      <c r="C1128" s="9" t="s">
        <v>1635</v>
      </c>
      <c r="D1128" s="11" t="s">
        <v>2054</v>
      </c>
      <c r="E1128" s="17">
        <f>+16472987797</f>
        <v>16472987797</v>
      </c>
      <c r="F1128" s="12" t="s">
        <v>2055</v>
      </c>
      <c r="G1128" s="9" t="s">
        <v>123</v>
      </c>
      <c r="H1128" s="9" t="s">
        <v>41</v>
      </c>
      <c r="I1128" s="13"/>
      <c r="J1128" s="13"/>
      <c r="K1128" s="14"/>
      <c r="L1128" s="13"/>
      <c r="M1128" s="14"/>
      <c r="N1128" s="15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</row>
    <row r="1129">
      <c r="A1129" s="9">
        <v>1127.0</v>
      </c>
      <c r="B1129" s="10">
        <v>44027.0</v>
      </c>
      <c r="C1129" s="9" t="s">
        <v>47</v>
      </c>
      <c r="D1129" s="11" t="s">
        <v>69</v>
      </c>
      <c r="E1129" s="9">
        <v>9.71050260133E12</v>
      </c>
      <c r="F1129" s="12" t="s">
        <v>2056</v>
      </c>
      <c r="G1129" s="9" t="s">
        <v>176</v>
      </c>
      <c r="H1129" s="9" t="s">
        <v>81</v>
      </c>
      <c r="I1129" s="13"/>
      <c r="J1129" s="13"/>
      <c r="K1129" s="14"/>
      <c r="L1129" s="13"/>
      <c r="M1129" s="14"/>
      <c r="N1129" s="15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</row>
    <row r="1130">
      <c r="A1130" s="9">
        <v>1128.0</v>
      </c>
      <c r="B1130" s="10">
        <v>44028.0</v>
      </c>
      <c r="C1130" s="9" t="s">
        <v>401</v>
      </c>
      <c r="D1130" s="16" t="s">
        <v>2057</v>
      </c>
      <c r="E1130" s="17">
        <f>+966505813813</f>
        <v>966505813813</v>
      </c>
      <c r="F1130" s="12" t="s">
        <v>2058</v>
      </c>
      <c r="G1130" s="9" t="s">
        <v>25</v>
      </c>
      <c r="H1130" s="9" t="s">
        <v>13</v>
      </c>
      <c r="I1130" s="13"/>
      <c r="J1130" s="13"/>
      <c r="K1130" s="14"/>
      <c r="L1130" s="13"/>
      <c r="M1130" s="22"/>
      <c r="N1130" s="15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</row>
    <row r="1131">
      <c r="A1131" s="9">
        <v>1129.0</v>
      </c>
      <c r="B1131" s="10">
        <v>44027.0</v>
      </c>
      <c r="C1131" s="9" t="s">
        <v>47</v>
      </c>
      <c r="D1131" s="11" t="s">
        <v>2059</v>
      </c>
      <c r="E1131" s="17">
        <f>+971508586017</f>
        <v>971508586017</v>
      </c>
      <c r="F1131" s="12" t="s">
        <v>2060</v>
      </c>
      <c r="G1131" s="9" t="s">
        <v>176</v>
      </c>
      <c r="H1131" s="9" t="s">
        <v>41</v>
      </c>
      <c r="I1131" s="13"/>
      <c r="J1131" s="13"/>
      <c r="K1131" s="14"/>
      <c r="L1131" s="13"/>
      <c r="M1131" s="14"/>
      <c r="N1131" s="15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</row>
    <row r="1132">
      <c r="A1132" s="9">
        <v>1130.0</v>
      </c>
      <c r="B1132" s="10">
        <v>44027.0</v>
      </c>
      <c r="C1132" s="9" t="s">
        <v>47</v>
      </c>
      <c r="D1132" s="11" t="s">
        <v>2061</v>
      </c>
      <c r="E1132" s="17">
        <f>+9710523866638</f>
        <v>9710523866638</v>
      </c>
      <c r="F1132" s="12" t="s">
        <v>2062</v>
      </c>
      <c r="G1132" s="9" t="s">
        <v>400</v>
      </c>
      <c r="H1132" s="9" t="s">
        <v>73</v>
      </c>
      <c r="I1132" s="13"/>
      <c r="J1132" s="13"/>
      <c r="K1132" s="14"/>
      <c r="L1132" s="13"/>
      <c r="M1132" s="14"/>
      <c r="N1132" s="15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</row>
    <row r="1133">
      <c r="A1133" s="9">
        <v>1131.0</v>
      </c>
      <c r="B1133" s="10">
        <v>44027.0</v>
      </c>
      <c r="C1133" s="9" t="s">
        <v>47</v>
      </c>
      <c r="D1133" s="11" t="s">
        <v>2063</v>
      </c>
      <c r="E1133" s="17">
        <f>+971561774045</f>
        <v>971561774045</v>
      </c>
      <c r="F1133" s="12" t="s">
        <v>2064</v>
      </c>
      <c r="G1133" s="9" t="s">
        <v>176</v>
      </c>
      <c r="H1133" s="9" t="s">
        <v>260</v>
      </c>
      <c r="I1133" s="13"/>
      <c r="J1133" s="13"/>
      <c r="K1133" s="14"/>
      <c r="L1133" s="13"/>
      <c r="M1133" s="14"/>
      <c r="N1133" s="15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</row>
    <row r="1134">
      <c r="A1134" s="9">
        <v>1132.0</v>
      </c>
      <c r="B1134" s="10">
        <v>44030.0</v>
      </c>
      <c r="C1134" s="9" t="s">
        <v>401</v>
      </c>
      <c r="D1134" s="11" t="s">
        <v>2065</v>
      </c>
      <c r="E1134" s="17">
        <f>+966509253905</f>
        <v>966509253905</v>
      </c>
      <c r="F1134" s="12" t="s">
        <v>2066</v>
      </c>
      <c r="G1134" s="9" t="s">
        <v>184</v>
      </c>
      <c r="H1134" s="9" t="s">
        <v>385</v>
      </c>
      <c r="I1134" s="13"/>
      <c r="J1134" s="13"/>
      <c r="K1134" s="14"/>
      <c r="L1134" s="13"/>
      <c r="M1134" s="14"/>
      <c r="N1134" s="15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</row>
    <row r="1135">
      <c r="A1135" s="9">
        <v>1133.0</v>
      </c>
      <c r="B1135" s="10">
        <v>44029.0</v>
      </c>
      <c r="C1135" s="9" t="s">
        <v>47</v>
      </c>
      <c r="D1135" s="11" t="s">
        <v>2067</v>
      </c>
      <c r="E1135" s="9">
        <v>5.08051307E8</v>
      </c>
      <c r="F1135" s="12" t="s">
        <v>2068</v>
      </c>
      <c r="G1135" s="9" t="s">
        <v>400</v>
      </c>
      <c r="H1135" s="9" t="s">
        <v>17</v>
      </c>
      <c r="I1135" s="13"/>
      <c r="J1135" s="13"/>
      <c r="K1135" s="14"/>
      <c r="L1135" s="13"/>
      <c r="M1135" s="14"/>
      <c r="N1135" s="15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</row>
    <row r="1136">
      <c r="A1136" s="9">
        <v>1134.0</v>
      </c>
      <c r="B1136" s="10">
        <v>44027.0</v>
      </c>
      <c r="C1136" s="9" t="s">
        <v>47</v>
      </c>
      <c r="D1136" s="11" t="s">
        <v>2069</v>
      </c>
      <c r="E1136" s="17">
        <f>+971529028246</f>
        <v>971529028246</v>
      </c>
      <c r="F1136" s="12" t="s">
        <v>2070</v>
      </c>
      <c r="G1136" s="9" t="s">
        <v>80</v>
      </c>
      <c r="H1136" s="9" t="s">
        <v>17</v>
      </c>
      <c r="I1136" s="13"/>
      <c r="J1136" s="13"/>
      <c r="K1136" s="14"/>
      <c r="L1136" s="13"/>
      <c r="M1136" s="14"/>
      <c r="N1136" s="15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</row>
    <row r="1137">
      <c r="A1137" s="9">
        <v>1135.0</v>
      </c>
      <c r="B1137" s="10">
        <v>44027.0</v>
      </c>
      <c r="C1137" s="9" t="s">
        <v>47</v>
      </c>
      <c r="D1137" s="11" t="s">
        <v>2071</v>
      </c>
      <c r="E1137" s="17">
        <f>+9710504011809</f>
        <v>9710504011809</v>
      </c>
      <c r="F1137" s="9" t="s">
        <v>410</v>
      </c>
      <c r="G1137" s="9" t="s">
        <v>300</v>
      </c>
      <c r="H1137" s="9" t="s">
        <v>17</v>
      </c>
      <c r="I1137" s="13"/>
      <c r="J1137" s="13"/>
      <c r="K1137" s="14"/>
      <c r="L1137" s="13"/>
      <c r="M1137" s="14"/>
      <c r="N1137" s="15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</row>
    <row r="1138">
      <c r="A1138" s="9">
        <v>1136.0</v>
      </c>
      <c r="B1138" s="10">
        <v>44026.0</v>
      </c>
      <c r="C1138" s="9" t="s">
        <v>47</v>
      </c>
      <c r="D1138" s="11" t="s">
        <v>2072</v>
      </c>
      <c r="E1138" s="17">
        <f>+9710568588338</f>
        <v>9710568588338</v>
      </c>
      <c r="F1138" s="12" t="s">
        <v>2073</v>
      </c>
      <c r="G1138" s="9" t="s">
        <v>300</v>
      </c>
      <c r="H1138" s="9" t="s">
        <v>17</v>
      </c>
      <c r="I1138" s="13"/>
      <c r="J1138" s="13"/>
      <c r="K1138" s="14"/>
      <c r="L1138" s="13"/>
      <c r="M1138" s="14"/>
      <c r="N1138" s="15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</row>
    <row r="1139">
      <c r="A1139" s="9">
        <v>1137.0</v>
      </c>
      <c r="B1139" s="10">
        <v>44026.0</v>
      </c>
      <c r="C1139" s="9" t="s">
        <v>47</v>
      </c>
      <c r="D1139" s="11" t="s">
        <v>2074</v>
      </c>
      <c r="E1139" s="17">
        <f>+9710562253348</f>
        <v>9710562253348</v>
      </c>
      <c r="F1139" s="12" t="s">
        <v>2075</v>
      </c>
      <c r="G1139" s="9" t="s">
        <v>432</v>
      </c>
      <c r="H1139" s="9" t="s">
        <v>81</v>
      </c>
      <c r="I1139" s="13"/>
      <c r="J1139" s="13"/>
      <c r="K1139" s="14"/>
      <c r="L1139" s="13"/>
      <c r="M1139" s="14"/>
      <c r="N1139" s="15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</row>
    <row r="1140">
      <c r="A1140" s="9">
        <v>1138.0</v>
      </c>
      <c r="B1140" s="10">
        <v>44026.0</v>
      </c>
      <c r="C1140" s="9" t="s">
        <v>47</v>
      </c>
      <c r="D1140" s="11" t="s">
        <v>2076</v>
      </c>
      <c r="E1140" s="17">
        <f>+971527985849</f>
        <v>971527985849</v>
      </c>
      <c r="F1140" s="12" t="s">
        <v>2077</v>
      </c>
      <c r="G1140" s="9" t="s">
        <v>432</v>
      </c>
      <c r="H1140" s="9" t="s">
        <v>260</v>
      </c>
      <c r="I1140" s="13"/>
      <c r="J1140" s="13"/>
      <c r="K1140" s="14"/>
      <c r="L1140" s="13"/>
      <c r="M1140" s="14"/>
      <c r="N1140" s="15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</row>
    <row r="1141">
      <c r="A1141" s="9">
        <v>1139.0</v>
      </c>
      <c r="B1141" s="10">
        <v>44026.0</v>
      </c>
      <c r="C1141" s="9" t="s">
        <v>47</v>
      </c>
      <c r="D1141" s="11" t="s">
        <v>1363</v>
      </c>
      <c r="E1141" s="17">
        <f>+971508990919</f>
        <v>971508990919</v>
      </c>
      <c r="F1141" s="12" t="s">
        <v>2078</v>
      </c>
      <c r="G1141" s="9" t="s">
        <v>400</v>
      </c>
      <c r="H1141" s="9" t="s">
        <v>17</v>
      </c>
      <c r="I1141" s="13"/>
      <c r="J1141" s="13"/>
      <c r="K1141" s="14"/>
      <c r="L1141" s="13"/>
      <c r="M1141" s="14"/>
      <c r="N1141" s="15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</row>
    <row r="1142">
      <c r="A1142" s="9">
        <v>1140.0</v>
      </c>
      <c r="B1142" s="10">
        <v>44026.0</v>
      </c>
      <c r="C1142" s="9" t="s">
        <v>47</v>
      </c>
      <c r="D1142" s="11" t="s">
        <v>2079</v>
      </c>
      <c r="E1142" s="17">
        <f>+971527779192</f>
        <v>971527779192</v>
      </c>
      <c r="F1142" s="12" t="s">
        <v>2080</v>
      </c>
      <c r="G1142" s="9" t="s">
        <v>400</v>
      </c>
      <c r="H1142" s="9" t="s">
        <v>17</v>
      </c>
      <c r="I1142" s="13"/>
      <c r="J1142" s="13"/>
      <c r="K1142" s="14"/>
      <c r="L1142" s="13"/>
      <c r="M1142" s="14"/>
      <c r="N1142" s="15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</row>
    <row r="1143">
      <c r="A1143" s="9">
        <v>1141.0</v>
      </c>
      <c r="B1143" s="10">
        <v>44026.0</v>
      </c>
      <c r="C1143" s="9" t="s">
        <v>47</v>
      </c>
      <c r="D1143" s="11" t="s">
        <v>2081</v>
      </c>
      <c r="E1143" s="17">
        <f>+9710506333214</f>
        <v>9710506333214</v>
      </c>
      <c r="F1143" s="12" t="s">
        <v>2082</v>
      </c>
      <c r="G1143" s="9" t="s">
        <v>80</v>
      </c>
      <c r="H1143" s="9" t="s">
        <v>41</v>
      </c>
      <c r="I1143" s="13"/>
      <c r="J1143" s="13"/>
      <c r="K1143" s="14"/>
      <c r="L1143" s="13"/>
      <c r="M1143" s="14"/>
      <c r="N1143" s="15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</row>
    <row r="1144">
      <c r="A1144" s="9">
        <v>1142.0</v>
      </c>
      <c r="B1144" s="10">
        <v>44026.0</v>
      </c>
      <c r="C1144" s="9" t="s">
        <v>47</v>
      </c>
      <c r="D1144" s="11" t="s">
        <v>2083</v>
      </c>
      <c r="E1144" s="17">
        <f>+971529855287</f>
        <v>971529855287</v>
      </c>
      <c r="F1144" s="12" t="s">
        <v>2084</v>
      </c>
      <c r="G1144" s="9" t="s">
        <v>627</v>
      </c>
      <c r="H1144" s="9" t="s">
        <v>17</v>
      </c>
      <c r="I1144" s="13"/>
      <c r="J1144" s="13"/>
      <c r="K1144" s="14"/>
      <c r="L1144" s="13"/>
      <c r="M1144" s="14"/>
      <c r="N1144" s="15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</row>
    <row r="1145">
      <c r="A1145" s="9">
        <v>1143.0</v>
      </c>
      <c r="B1145" s="10">
        <v>44026.0</v>
      </c>
      <c r="C1145" s="9" t="s">
        <v>47</v>
      </c>
      <c r="D1145" s="11" t="s">
        <v>2085</v>
      </c>
      <c r="E1145" s="17">
        <f>+9710508655098</f>
        <v>9710508655098</v>
      </c>
      <c r="F1145" s="12" t="s">
        <v>2086</v>
      </c>
      <c r="G1145" s="9" t="s">
        <v>190</v>
      </c>
      <c r="H1145" s="9" t="s">
        <v>13</v>
      </c>
      <c r="I1145" s="13"/>
      <c r="J1145" s="13"/>
      <c r="K1145" s="14"/>
      <c r="L1145" s="13"/>
      <c r="M1145" s="14"/>
      <c r="N1145" s="15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</row>
    <row r="1146">
      <c r="A1146" s="9">
        <v>1144.0</v>
      </c>
      <c r="B1146" s="10">
        <v>44026.0</v>
      </c>
      <c r="C1146" s="9" t="s">
        <v>1635</v>
      </c>
      <c r="D1146" s="11" t="s">
        <v>124</v>
      </c>
      <c r="E1146" s="17">
        <f>+447826754981</f>
        <v>447826754981</v>
      </c>
      <c r="F1146" s="12" t="s">
        <v>125</v>
      </c>
      <c r="G1146" s="9" t="s">
        <v>1881</v>
      </c>
      <c r="H1146" s="9" t="s">
        <v>41</v>
      </c>
      <c r="I1146" s="13"/>
      <c r="J1146" s="13"/>
      <c r="K1146" s="14"/>
      <c r="L1146" s="13"/>
      <c r="M1146" s="14"/>
      <c r="N1146" s="15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</row>
    <row r="1147">
      <c r="A1147" s="9">
        <v>1145.0</v>
      </c>
      <c r="B1147" s="10">
        <v>44026.0</v>
      </c>
      <c r="C1147" s="9" t="s">
        <v>1635</v>
      </c>
      <c r="D1147" s="11" t="s">
        <v>2087</v>
      </c>
      <c r="E1147" s="17">
        <f>+8613880130400</f>
        <v>8613880130400</v>
      </c>
      <c r="F1147" s="12" t="s">
        <v>2088</v>
      </c>
      <c r="G1147" s="9" t="s">
        <v>2089</v>
      </c>
      <c r="H1147" s="9" t="s">
        <v>13</v>
      </c>
      <c r="I1147" s="13"/>
      <c r="J1147" s="13"/>
      <c r="K1147" s="14"/>
      <c r="L1147" s="13"/>
      <c r="M1147" s="14"/>
      <c r="N1147" s="15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</row>
    <row r="1148">
      <c r="A1148" s="9">
        <v>1146.0</v>
      </c>
      <c r="B1148" s="10">
        <v>44026.0</v>
      </c>
      <c r="C1148" s="9" t="s">
        <v>401</v>
      </c>
      <c r="D1148" s="16" t="s">
        <v>129</v>
      </c>
      <c r="E1148" s="17">
        <f>+966572727659</f>
        <v>966572727659</v>
      </c>
      <c r="F1148" s="12" t="s">
        <v>130</v>
      </c>
      <c r="G1148" s="9" t="s">
        <v>184</v>
      </c>
      <c r="H1148" s="9" t="s">
        <v>385</v>
      </c>
      <c r="I1148" s="13"/>
      <c r="J1148" s="13"/>
      <c r="K1148" s="14"/>
      <c r="L1148" s="13"/>
      <c r="M1148" s="22"/>
      <c r="N1148" s="15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</row>
    <row r="1149">
      <c r="A1149" s="9">
        <v>1147.0</v>
      </c>
      <c r="B1149" s="10">
        <v>44026.0</v>
      </c>
      <c r="C1149" s="9" t="s">
        <v>401</v>
      </c>
      <c r="D1149" s="16" t="s">
        <v>127</v>
      </c>
      <c r="E1149" s="17">
        <f>+966506465256</f>
        <v>966506465256</v>
      </c>
      <c r="F1149" s="12" t="s">
        <v>128</v>
      </c>
      <c r="G1149" s="9" t="s">
        <v>184</v>
      </c>
      <c r="H1149" s="9" t="s">
        <v>385</v>
      </c>
      <c r="I1149" s="13"/>
      <c r="J1149" s="13"/>
      <c r="K1149" s="14"/>
      <c r="L1149" s="13"/>
      <c r="M1149" s="22"/>
      <c r="N1149" s="15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</row>
    <row r="1150">
      <c r="A1150" s="9">
        <v>1148.0</v>
      </c>
      <c r="B1150" s="10">
        <v>44026.0</v>
      </c>
      <c r="C1150" s="9" t="s">
        <v>1635</v>
      </c>
      <c r="D1150" s="11" t="s">
        <v>118</v>
      </c>
      <c r="E1150" s="17">
        <f>+447795363288</f>
        <v>447795363288</v>
      </c>
      <c r="F1150" s="12" t="s">
        <v>119</v>
      </c>
      <c r="G1150" s="9" t="s">
        <v>123</v>
      </c>
      <c r="H1150" s="9" t="s">
        <v>260</v>
      </c>
      <c r="I1150" s="13"/>
      <c r="J1150" s="13"/>
      <c r="K1150" s="14"/>
      <c r="L1150" s="13"/>
      <c r="M1150" s="14"/>
      <c r="N1150" s="15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</row>
    <row r="1151">
      <c r="A1151" s="9">
        <v>1149.0</v>
      </c>
      <c r="B1151" s="10">
        <v>44025.0</v>
      </c>
      <c r="C1151" s="9" t="s">
        <v>47</v>
      </c>
      <c r="D1151" s="11" t="s">
        <v>2090</v>
      </c>
      <c r="E1151" s="9">
        <v>9.71501999199E11</v>
      </c>
      <c r="F1151" s="12" t="s">
        <v>2091</v>
      </c>
      <c r="G1151" s="9" t="s">
        <v>176</v>
      </c>
      <c r="H1151" s="9" t="s">
        <v>81</v>
      </c>
      <c r="I1151" s="13"/>
      <c r="J1151" s="13"/>
      <c r="K1151" s="14"/>
      <c r="L1151" s="13"/>
      <c r="M1151" s="14"/>
      <c r="N1151" s="15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</row>
    <row r="1152">
      <c r="A1152" s="9">
        <v>1150.0</v>
      </c>
      <c r="B1152" s="10">
        <v>44025.0</v>
      </c>
      <c r="C1152" s="9" t="s">
        <v>1626</v>
      </c>
      <c r="D1152" s="11" t="s">
        <v>84</v>
      </c>
      <c r="E1152" s="9">
        <v>5.59478204E8</v>
      </c>
      <c r="F1152" s="12" t="s">
        <v>2092</v>
      </c>
      <c r="G1152" s="9" t="s">
        <v>12</v>
      </c>
      <c r="H1152" s="9" t="s">
        <v>13</v>
      </c>
      <c r="I1152" s="13"/>
      <c r="J1152" s="13"/>
      <c r="K1152" s="14"/>
      <c r="L1152" s="13"/>
      <c r="M1152" s="14"/>
      <c r="N1152" s="15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</row>
    <row r="1153">
      <c r="A1153" s="9">
        <v>1151.0</v>
      </c>
      <c r="B1153" s="10">
        <v>44025.0</v>
      </c>
      <c r="C1153" s="9" t="s">
        <v>47</v>
      </c>
      <c r="D1153" s="11" t="s">
        <v>767</v>
      </c>
      <c r="E1153" s="9">
        <v>9.71569996326E11</v>
      </c>
      <c r="F1153" s="12" t="s">
        <v>2093</v>
      </c>
      <c r="G1153" s="9" t="s">
        <v>176</v>
      </c>
      <c r="H1153" s="9" t="s">
        <v>41</v>
      </c>
      <c r="I1153" s="13"/>
      <c r="J1153" s="13"/>
      <c r="K1153" s="14"/>
      <c r="L1153" s="13"/>
      <c r="M1153" s="14"/>
      <c r="N1153" s="15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</row>
    <row r="1154">
      <c r="A1154" s="9">
        <v>1152.0</v>
      </c>
      <c r="B1154" s="10">
        <v>44025.0</v>
      </c>
      <c r="C1154" s="9" t="s">
        <v>401</v>
      </c>
      <c r="D1154" s="16" t="s">
        <v>2094</v>
      </c>
      <c r="E1154" s="17">
        <f>+966503361251</f>
        <v>966503361251</v>
      </c>
      <c r="F1154" s="12" t="s">
        <v>2095</v>
      </c>
      <c r="G1154" s="9" t="s">
        <v>184</v>
      </c>
      <c r="H1154" s="9" t="s">
        <v>385</v>
      </c>
      <c r="I1154" s="13"/>
      <c r="J1154" s="13"/>
      <c r="K1154" s="14"/>
      <c r="L1154" s="13"/>
      <c r="M1154" s="22"/>
      <c r="N1154" s="15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</row>
    <row r="1155">
      <c r="A1155" s="9">
        <v>1153.0</v>
      </c>
      <c r="B1155" s="10">
        <v>44025.0</v>
      </c>
      <c r="C1155" s="9" t="s">
        <v>401</v>
      </c>
      <c r="D1155" s="16" t="s">
        <v>2096</v>
      </c>
      <c r="E1155" s="17">
        <f>+966508216645</f>
        <v>966508216645</v>
      </c>
      <c r="F1155" s="12" t="s">
        <v>2097</v>
      </c>
      <c r="G1155" s="9" t="s">
        <v>184</v>
      </c>
      <c r="H1155" s="9" t="s">
        <v>385</v>
      </c>
      <c r="I1155" s="13"/>
      <c r="J1155" s="13"/>
      <c r="K1155" s="14"/>
      <c r="L1155" s="13"/>
      <c r="M1155" s="22"/>
      <c r="N1155" s="15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</row>
    <row r="1156">
      <c r="A1156" s="9">
        <v>1154.0</v>
      </c>
      <c r="B1156" s="10">
        <v>44025.0</v>
      </c>
      <c r="C1156" s="9" t="s">
        <v>401</v>
      </c>
      <c r="D1156" s="11" t="s">
        <v>2098</v>
      </c>
      <c r="E1156" s="17">
        <f>+966563555879</f>
        <v>966563555879</v>
      </c>
      <c r="F1156" s="12" t="s">
        <v>2099</v>
      </c>
      <c r="G1156" s="9" t="s">
        <v>184</v>
      </c>
      <c r="H1156" s="9" t="s">
        <v>385</v>
      </c>
      <c r="I1156" s="13"/>
      <c r="J1156" s="13"/>
      <c r="K1156" s="14"/>
      <c r="L1156" s="13"/>
      <c r="M1156" s="14"/>
      <c r="N1156" s="15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</row>
    <row r="1157">
      <c r="A1157" s="9">
        <v>1155.0</v>
      </c>
      <c r="B1157" s="10">
        <v>44025.0</v>
      </c>
      <c r="C1157" s="9" t="s">
        <v>401</v>
      </c>
      <c r="D1157" s="16" t="s">
        <v>2100</v>
      </c>
      <c r="E1157" s="17">
        <f>+966503344911</f>
        <v>966503344911</v>
      </c>
      <c r="F1157" s="12" t="s">
        <v>2101</v>
      </c>
      <c r="G1157" s="9" t="s">
        <v>184</v>
      </c>
      <c r="H1157" s="9" t="s">
        <v>385</v>
      </c>
      <c r="I1157" s="13"/>
      <c r="J1157" s="13"/>
      <c r="K1157" s="14"/>
      <c r="L1157" s="13"/>
      <c r="M1157" s="22"/>
      <c r="N1157" s="15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</row>
    <row r="1158">
      <c r="A1158" s="9">
        <v>1156.0</v>
      </c>
      <c r="B1158" s="10">
        <v>44024.0</v>
      </c>
      <c r="C1158" s="9" t="s">
        <v>1626</v>
      </c>
      <c r="D1158" s="11" t="s">
        <v>2102</v>
      </c>
      <c r="E1158" s="9">
        <v>9.71504582575E11</v>
      </c>
      <c r="F1158" s="12" t="s">
        <v>2103</v>
      </c>
      <c r="G1158" s="9" t="s">
        <v>20</v>
      </c>
      <c r="H1158" s="9" t="s">
        <v>81</v>
      </c>
      <c r="I1158" s="13"/>
      <c r="J1158" s="13"/>
      <c r="K1158" s="14"/>
      <c r="L1158" s="13"/>
      <c r="M1158" s="14"/>
      <c r="N1158" s="15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</row>
    <row r="1159">
      <c r="A1159" s="9">
        <v>1157.0</v>
      </c>
      <c r="B1159" s="10">
        <v>44024.0</v>
      </c>
      <c r="C1159" s="9" t="s">
        <v>47</v>
      </c>
      <c r="D1159" s="11" t="s">
        <v>2104</v>
      </c>
      <c r="E1159" s="9">
        <v>1.6479738787E10</v>
      </c>
      <c r="F1159" s="12" t="s">
        <v>2105</v>
      </c>
      <c r="G1159" s="9" t="s">
        <v>176</v>
      </c>
      <c r="H1159" s="9" t="s">
        <v>41</v>
      </c>
      <c r="I1159" s="13"/>
      <c r="J1159" s="13"/>
      <c r="K1159" s="14"/>
      <c r="L1159" s="13"/>
      <c r="M1159" s="14"/>
      <c r="N1159" s="15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</row>
    <row r="1160">
      <c r="A1160" s="9">
        <v>1158.0</v>
      </c>
      <c r="B1160" s="10">
        <v>44024.0</v>
      </c>
      <c r="C1160" s="9" t="s">
        <v>1626</v>
      </c>
      <c r="D1160" s="11" t="s">
        <v>2106</v>
      </c>
      <c r="E1160" s="9">
        <v>5.01414811E8</v>
      </c>
      <c r="F1160" s="12" t="s">
        <v>2107</v>
      </c>
      <c r="G1160" s="9" t="s">
        <v>35</v>
      </c>
      <c r="H1160" s="9" t="s">
        <v>41</v>
      </c>
      <c r="I1160" s="13"/>
      <c r="J1160" s="13"/>
      <c r="K1160" s="14"/>
      <c r="L1160" s="13"/>
      <c r="M1160" s="14"/>
      <c r="N1160" s="15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</row>
    <row r="1161">
      <c r="A1161" s="9">
        <v>1159.0</v>
      </c>
      <c r="B1161" s="10">
        <v>44024.0</v>
      </c>
      <c r="C1161" s="9" t="s">
        <v>1626</v>
      </c>
      <c r="D1161" s="11" t="s">
        <v>2108</v>
      </c>
      <c r="E1161" s="9">
        <v>5.06540768E8</v>
      </c>
      <c r="F1161" s="12" t="s">
        <v>2109</v>
      </c>
      <c r="G1161" s="9" t="s">
        <v>1823</v>
      </c>
      <c r="H1161" s="9" t="s">
        <v>41</v>
      </c>
      <c r="I1161" s="13"/>
      <c r="J1161" s="13"/>
      <c r="K1161" s="14"/>
      <c r="L1161" s="13"/>
      <c r="M1161" s="14"/>
      <c r="N1161" s="15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</row>
    <row r="1162">
      <c r="A1162" s="9">
        <v>1160.0</v>
      </c>
      <c r="B1162" s="10">
        <v>44024.0</v>
      </c>
      <c r="C1162" s="9" t="s">
        <v>47</v>
      </c>
      <c r="D1162" s="11" t="s">
        <v>2110</v>
      </c>
      <c r="E1162" s="9">
        <v>9.71559550884E11</v>
      </c>
      <c r="F1162" s="12" t="s">
        <v>2111</v>
      </c>
      <c r="G1162" s="9" t="s">
        <v>20</v>
      </c>
      <c r="H1162" s="9" t="s">
        <v>17</v>
      </c>
      <c r="I1162" s="13"/>
      <c r="J1162" s="13"/>
      <c r="K1162" s="14"/>
      <c r="L1162" s="13"/>
      <c r="M1162" s="14"/>
      <c r="N1162" s="15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</row>
    <row r="1163">
      <c r="A1163" s="9">
        <v>1161.0</v>
      </c>
      <c r="B1163" s="10">
        <v>44024.0</v>
      </c>
      <c r="C1163" s="9" t="s">
        <v>47</v>
      </c>
      <c r="D1163" s="11" t="s">
        <v>1867</v>
      </c>
      <c r="E1163" s="9">
        <v>9.710507851339E12</v>
      </c>
      <c r="F1163" s="12" t="s">
        <v>2112</v>
      </c>
      <c r="G1163" s="9" t="s">
        <v>627</v>
      </c>
      <c r="H1163" s="9" t="s">
        <v>17</v>
      </c>
      <c r="I1163" s="13"/>
      <c r="J1163" s="13"/>
      <c r="K1163" s="14"/>
      <c r="L1163" s="13"/>
      <c r="M1163" s="14"/>
      <c r="N1163" s="15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</row>
    <row r="1164">
      <c r="A1164" s="9">
        <v>1162.0</v>
      </c>
      <c r="B1164" s="10">
        <v>44024.0</v>
      </c>
      <c r="C1164" s="9" t="s">
        <v>47</v>
      </c>
      <c r="D1164" s="11" t="s">
        <v>2113</v>
      </c>
      <c r="E1164" s="9">
        <v>9.71566837662E11</v>
      </c>
      <c r="F1164" s="12" t="s">
        <v>2114</v>
      </c>
      <c r="G1164" s="9" t="s">
        <v>1221</v>
      </c>
      <c r="H1164" s="9" t="s">
        <v>206</v>
      </c>
      <c r="I1164" s="13"/>
      <c r="J1164" s="13"/>
      <c r="K1164" s="14"/>
      <c r="L1164" s="13"/>
      <c r="M1164" s="14"/>
      <c r="N1164" s="15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</row>
    <row r="1165">
      <c r="A1165" s="9">
        <v>1163.0</v>
      </c>
      <c r="B1165" s="10">
        <v>44024.0</v>
      </c>
      <c r="C1165" s="9" t="s">
        <v>47</v>
      </c>
      <c r="D1165" s="11" t="s">
        <v>2115</v>
      </c>
      <c r="E1165" s="9">
        <v>9.71569717112E11</v>
      </c>
      <c r="F1165" s="12" t="s">
        <v>2116</v>
      </c>
      <c r="G1165" s="9" t="s">
        <v>80</v>
      </c>
      <c r="H1165" s="9" t="s">
        <v>17</v>
      </c>
      <c r="I1165" s="13"/>
      <c r="J1165" s="13"/>
      <c r="K1165" s="14"/>
      <c r="L1165" s="13"/>
      <c r="M1165" s="14"/>
      <c r="N1165" s="15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</row>
    <row r="1166">
      <c r="A1166" s="9">
        <v>1164.0</v>
      </c>
      <c r="B1166" s="10">
        <v>44024.0</v>
      </c>
      <c r="C1166" s="9" t="s">
        <v>47</v>
      </c>
      <c r="D1166" s="11" t="s">
        <v>652</v>
      </c>
      <c r="E1166" s="9">
        <v>9.710507738829E12</v>
      </c>
      <c r="F1166" s="12" t="s">
        <v>2117</v>
      </c>
      <c r="G1166" s="9" t="s">
        <v>176</v>
      </c>
      <c r="H1166" s="9" t="s">
        <v>41</v>
      </c>
      <c r="I1166" s="13"/>
      <c r="J1166" s="13"/>
      <c r="K1166" s="14"/>
      <c r="L1166" s="13"/>
      <c r="M1166" s="14"/>
      <c r="N1166" s="15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</row>
    <row r="1167">
      <c r="A1167" s="9">
        <v>1165.0</v>
      </c>
      <c r="B1167" s="10">
        <v>44024.0</v>
      </c>
      <c r="C1167" s="9" t="s">
        <v>47</v>
      </c>
      <c r="D1167" s="11" t="s">
        <v>2118</v>
      </c>
      <c r="E1167" s="9">
        <v>9.203212568723E12</v>
      </c>
      <c r="F1167" s="12" t="s">
        <v>2119</v>
      </c>
      <c r="G1167" s="9" t="s">
        <v>134</v>
      </c>
      <c r="H1167" s="9" t="s">
        <v>41</v>
      </c>
      <c r="I1167" s="13"/>
      <c r="J1167" s="13"/>
      <c r="K1167" s="14"/>
      <c r="L1167" s="13"/>
      <c r="M1167" s="14"/>
      <c r="N1167" s="15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</row>
    <row r="1168">
      <c r="A1168" s="9">
        <v>1166.0</v>
      </c>
      <c r="B1168" s="10">
        <v>44024.0</v>
      </c>
      <c r="C1168" s="9" t="s">
        <v>401</v>
      </c>
      <c r="D1168" s="16" t="s">
        <v>2120</v>
      </c>
      <c r="E1168" s="17">
        <f>+966565333321</f>
        <v>966565333321</v>
      </c>
      <c r="F1168" s="12" t="s">
        <v>2121</v>
      </c>
      <c r="G1168" s="9" t="s">
        <v>131</v>
      </c>
      <c r="H1168" s="9" t="s">
        <v>17</v>
      </c>
      <c r="I1168" s="13"/>
      <c r="J1168" s="13"/>
      <c r="K1168" s="14"/>
      <c r="L1168" s="13"/>
      <c r="M1168" s="22"/>
      <c r="N1168" s="15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</row>
    <row r="1169">
      <c r="A1169" s="9">
        <v>1167.0</v>
      </c>
      <c r="B1169" s="10">
        <v>44023.0</v>
      </c>
      <c r="C1169" s="9" t="s">
        <v>401</v>
      </c>
      <c r="D1169" s="16" t="s">
        <v>2122</v>
      </c>
      <c r="E1169" s="17">
        <f>+966504575411</f>
        <v>966504575411</v>
      </c>
      <c r="F1169" s="12" t="s">
        <v>2123</v>
      </c>
      <c r="G1169" s="9" t="s">
        <v>184</v>
      </c>
      <c r="H1169" s="9" t="s">
        <v>385</v>
      </c>
      <c r="I1169" s="13"/>
      <c r="J1169" s="13"/>
      <c r="K1169" s="14"/>
      <c r="L1169" s="13"/>
      <c r="M1169" s="22"/>
      <c r="N1169" s="15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</row>
    <row r="1170">
      <c r="A1170" s="9">
        <v>1168.0</v>
      </c>
      <c r="B1170" s="10">
        <v>44023.0</v>
      </c>
      <c r="C1170" s="9" t="s">
        <v>1635</v>
      </c>
      <c r="D1170" s="11" t="s">
        <v>2124</v>
      </c>
      <c r="E1170" s="17">
        <f>+16048391518</f>
        <v>16048391518</v>
      </c>
      <c r="F1170" s="12" t="s">
        <v>2125</v>
      </c>
      <c r="G1170" s="9" t="s">
        <v>2126</v>
      </c>
      <c r="H1170" s="9" t="s">
        <v>41</v>
      </c>
      <c r="I1170" s="13"/>
      <c r="J1170" s="13"/>
      <c r="K1170" s="14"/>
      <c r="L1170" s="13"/>
      <c r="M1170" s="14"/>
      <c r="N1170" s="15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</row>
    <row r="1171">
      <c r="A1171" s="9">
        <v>1169.0</v>
      </c>
      <c r="B1171" s="10">
        <v>44023.0</v>
      </c>
      <c r="C1171" s="9" t="s">
        <v>2127</v>
      </c>
      <c r="D1171" s="11" t="s">
        <v>2128</v>
      </c>
      <c r="E1171" s="17">
        <f>+9710564607452</f>
        <v>9710564607452</v>
      </c>
      <c r="F1171" s="12" t="s">
        <v>2129</v>
      </c>
      <c r="G1171" s="9" t="s">
        <v>176</v>
      </c>
      <c r="H1171" s="9" t="s">
        <v>17</v>
      </c>
      <c r="I1171" s="13"/>
      <c r="J1171" s="13"/>
      <c r="K1171" s="14"/>
      <c r="L1171" s="13"/>
      <c r="M1171" s="14"/>
      <c r="N1171" s="15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</row>
    <row r="1172">
      <c r="A1172" s="9">
        <v>1170.0</v>
      </c>
      <c r="B1172" s="10">
        <v>44023.0</v>
      </c>
      <c r="C1172" s="9" t="s">
        <v>401</v>
      </c>
      <c r="D1172" s="16" t="s">
        <v>2130</v>
      </c>
      <c r="E1172" s="17">
        <f>+966560806077</f>
        <v>966560806077</v>
      </c>
      <c r="F1172" s="12" t="s">
        <v>2131</v>
      </c>
      <c r="G1172" s="9" t="s">
        <v>184</v>
      </c>
      <c r="H1172" s="9" t="s">
        <v>385</v>
      </c>
      <c r="I1172" s="13"/>
      <c r="J1172" s="13"/>
      <c r="K1172" s="14"/>
      <c r="L1172" s="13"/>
      <c r="M1172" s="22"/>
      <c r="N1172" s="15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</row>
    <row r="1173">
      <c r="A1173" s="9">
        <v>1171.0</v>
      </c>
      <c r="B1173" s="10">
        <v>44023.0</v>
      </c>
      <c r="C1173" s="9" t="s">
        <v>401</v>
      </c>
      <c r="D1173" s="11" t="s">
        <v>2132</v>
      </c>
      <c r="E1173" s="17">
        <f>+966594010110</f>
        <v>966594010110</v>
      </c>
      <c r="F1173" s="12" t="s">
        <v>2133</v>
      </c>
      <c r="G1173" s="9" t="s">
        <v>184</v>
      </c>
      <c r="H1173" s="9" t="s">
        <v>385</v>
      </c>
      <c r="I1173" s="13"/>
      <c r="J1173" s="13"/>
      <c r="K1173" s="14"/>
      <c r="L1173" s="13"/>
      <c r="M1173" s="14"/>
      <c r="N1173" s="15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</row>
    <row r="1174">
      <c r="A1174" s="9">
        <v>1172.0</v>
      </c>
      <c r="B1174" s="10">
        <v>44022.0</v>
      </c>
      <c r="C1174" s="9" t="s">
        <v>1635</v>
      </c>
      <c r="D1174" s="11" t="s">
        <v>2134</v>
      </c>
      <c r="E1174" s="17">
        <f>+15145851548</f>
        <v>15145851548</v>
      </c>
      <c r="F1174" s="12" t="s">
        <v>2135</v>
      </c>
      <c r="G1174" s="9" t="s">
        <v>1881</v>
      </c>
      <c r="H1174" s="9" t="s">
        <v>41</v>
      </c>
      <c r="I1174" s="13"/>
      <c r="J1174" s="13"/>
      <c r="K1174" s="14"/>
      <c r="L1174" s="13"/>
      <c r="M1174" s="14"/>
      <c r="N1174" s="15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</row>
    <row r="1175">
      <c r="A1175" s="9">
        <v>1173.0</v>
      </c>
      <c r="B1175" s="10">
        <v>44022.0</v>
      </c>
      <c r="C1175" s="9" t="s">
        <v>2127</v>
      </c>
      <c r="D1175" s="11" t="s">
        <v>2136</v>
      </c>
      <c r="E1175" s="17">
        <f>+971506295073</f>
        <v>971506295073</v>
      </c>
      <c r="F1175" s="12" t="s">
        <v>2137</v>
      </c>
      <c r="G1175" s="9" t="s">
        <v>80</v>
      </c>
      <c r="H1175" s="9" t="s">
        <v>81</v>
      </c>
      <c r="I1175" s="13"/>
      <c r="J1175" s="13"/>
      <c r="K1175" s="14"/>
      <c r="L1175" s="13"/>
      <c r="M1175" s="14"/>
      <c r="N1175" s="15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</row>
    <row r="1176">
      <c r="A1176" s="9">
        <v>1174.0</v>
      </c>
      <c r="B1176" s="18">
        <v>44022.0</v>
      </c>
      <c r="C1176" s="19" t="s">
        <v>2127</v>
      </c>
      <c r="D1176" s="11" t="s">
        <v>2138</v>
      </c>
      <c r="E1176" s="24">
        <f>+966502348279</f>
        <v>966502348279</v>
      </c>
      <c r="F1176" s="12" t="s">
        <v>2139</v>
      </c>
      <c r="G1176" s="19" t="s">
        <v>176</v>
      </c>
      <c r="H1176" s="19" t="s">
        <v>41</v>
      </c>
      <c r="I1176" s="13"/>
      <c r="J1176" s="13"/>
      <c r="K1176" s="20"/>
      <c r="L1176" s="13"/>
      <c r="M1176" s="20"/>
      <c r="N1176" s="21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</row>
    <row r="1177">
      <c r="A1177" s="9">
        <v>1175.0</v>
      </c>
      <c r="B1177" s="10">
        <v>44022.0</v>
      </c>
      <c r="C1177" s="9" t="s">
        <v>2127</v>
      </c>
      <c r="D1177" s="11" t="s">
        <v>2140</v>
      </c>
      <c r="E1177" s="17">
        <f>+96597880936</f>
        <v>96597880936</v>
      </c>
      <c r="F1177" s="12" t="s">
        <v>2141</v>
      </c>
      <c r="G1177" s="9" t="s">
        <v>12</v>
      </c>
      <c r="H1177" s="9" t="s">
        <v>17</v>
      </c>
      <c r="I1177" s="13"/>
      <c r="J1177" s="13"/>
      <c r="K1177" s="14"/>
      <c r="L1177" s="13"/>
      <c r="M1177" s="14"/>
      <c r="N1177" s="15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</row>
    <row r="1178">
      <c r="A1178" s="9">
        <v>1176.0</v>
      </c>
      <c r="B1178" s="10">
        <v>44021.0</v>
      </c>
      <c r="C1178" s="9" t="s">
        <v>1635</v>
      </c>
      <c r="D1178" s="11" t="s">
        <v>2142</v>
      </c>
      <c r="E1178" s="17">
        <f>+886975527300</f>
        <v>886975527300</v>
      </c>
      <c r="F1178" s="12" t="s">
        <v>2143</v>
      </c>
      <c r="G1178" s="9" t="s">
        <v>2126</v>
      </c>
      <c r="H1178" s="9" t="s">
        <v>17</v>
      </c>
      <c r="I1178" s="13"/>
      <c r="J1178" s="13"/>
      <c r="K1178" s="14"/>
      <c r="L1178" s="13"/>
      <c r="M1178" s="14"/>
      <c r="N1178" s="15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</row>
    <row r="1179">
      <c r="A1179" s="9">
        <v>1177.0</v>
      </c>
      <c r="B1179" s="10">
        <v>44021.0</v>
      </c>
      <c r="C1179" s="9" t="s">
        <v>401</v>
      </c>
      <c r="D1179" s="11" t="s">
        <v>2144</v>
      </c>
      <c r="E1179" s="17">
        <f>+9660544404241</f>
        <v>9660544404241</v>
      </c>
      <c r="F1179" s="12" t="s">
        <v>2145</v>
      </c>
      <c r="G1179" s="9" t="s">
        <v>184</v>
      </c>
      <c r="H1179" s="9" t="s">
        <v>385</v>
      </c>
      <c r="I1179" s="13"/>
      <c r="J1179" s="13"/>
      <c r="K1179" s="14"/>
      <c r="L1179" s="13"/>
      <c r="M1179" s="14"/>
      <c r="N1179" s="15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</row>
    <row r="1180">
      <c r="A1180" s="9">
        <v>1178.0</v>
      </c>
      <c r="B1180" s="10">
        <v>44021.0</v>
      </c>
      <c r="C1180" s="9" t="s">
        <v>401</v>
      </c>
      <c r="D1180" s="16" t="s">
        <v>2146</v>
      </c>
      <c r="E1180" s="17">
        <f>+966567212251</f>
        <v>966567212251</v>
      </c>
      <c r="F1180" s="12" t="s">
        <v>2147</v>
      </c>
      <c r="G1180" s="9" t="s">
        <v>184</v>
      </c>
      <c r="H1180" s="9" t="s">
        <v>385</v>
      </c>
      <c r="I1180" s="13"/>
      <c r="J1180" s="13"/>
      <c r="K1180" s="14"/>
      <c r="L1180" s="13"/>
      <c r="M1180" s="22"/>
      <c r="N1180" s="15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</row>
    <row r="1181">
      <c r="A1181" s="9">
        <v>1179.0</v>
      </c>
      <c r="B1181" s="10">
        <v>44021.0</v>
      </c>
      <c r="C1181" s="9" t="s">
        <v>401</v>
      </c>
      <c r="D1181" s="16" t="s">
        <v>2148</v>
      </c>
      <c r="E1181" s="17">
        <f>+966541129774</f>
        <v>966541129774</v>
      </c>
      <c r="F1181" s="12" t="s">
        <v>2149</v>
      </c>
      <c r="G1181" s="9" t="s">
        <v>184</v>
      </c>
      <c r="H1181" s="9" t="s">
        <v>385</v>
      </c>
      <c r="I1181" s="13"/>
      <c r="J1181" s="13"/>
      <c r="K1181" s="14"/>
      <c r="L1181" s="13"/>
      <c r="M1181" s="22"/>
      <c r="N1181" s="15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</row>
    <row r="1182">
      <c r="A1182" s="9">
        <v>1180.0</v>
      </c>
      <c r="B1182" s="10">
        <v>44021.0</v>
      </c>
      <c r="C1182" s="9" t="s">
        <v>2127</v>
      </c>
      <c r="D1182" s="11" t="s">
        <v>2150</v>
      </c>
      <c r="E1182" s="17">
        <f>+919606364454</f>
        <v>919606364454</v>
      </c>
      <c r="F1182" s="12" t="s">
        <v>2151</v>
      </c>
      <c r="G1182" s="9" t="s">
        <v>1823</v>
      </c>
      <c r="H1182" s="9" t="s">
        <v>13</v>
      </c>
      <c r="I1182" s="13"/>
      <c r="J1182" s="13"/>
      <c r="K1182" s="14"/>
      <c r="L1182" s="13"/>
      <c r="M1182" s="14"/>
      <c r="N1182" s="15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</row>
    <row r="1183">
      <c r="A1183" s="9">
        <v>1181.0</v>
      </c>
      <c r="B1183" s="10">
        <v>44021.0</v>
      </c>
      <c r="C1183" s="9" t="s">
        <v>401</v>
      </c>
      <c r="D1183" s="11" t="s">
        <v>2152</v>
      </c>
      <c r="E1183" s="17">
        <f>+966545604669</f>
        <v>966545604669</v>
      </c>
      <c r="F1183" s="12" t="s">
        <v>2153</v>
      </c>
      <c r="G1183" s="9" t="s">
        <v>184</v>
      </c>
      <c r="H1183" s="9" t="s">
        <v>385</v>
      </c>
      <c r="I1183" s="13"/>
      <c r="J1183" s="13"/>
      <c r="K1183" s="14"/>
      <c r="L1183" s="13"/>
      <c r="M1183" s="14"/>
      <c r="N1183" s="15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</row>
    <row r="1184">
      <c r="A1184" s="9">
        <v>1182.0</v>
      </c>
      <c r="B1184" s="10">
        <v>44020.0</v>
      </c>
      <c r="C1184" s="9" t="s">
        <v>47</v>
      </c>
      <c r="D1184" s="11" t="s">
        <v>2154</v>
      </c>
      <c r="E1184" s="9" t="s">
        <v>410</v>
      </c>
      <c r="F1184" s="9" t="s">
        <v>410</v>
      </c>
      <c r="G1184" s="9" t="s">
        <v>184</v>
      </c>
      <c r="H1184" s="9" t="s">
        <v>385</v>
      </c>
      <c r="I1184" s="13"/>
      <c r="J1184" s="13"/>
      <c r="K1184" s="14"/>
      <c r="L1184" s="13"/>
      <c r="M1184" s="14"/>
      <c r="N1184" s="15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</row>
    <row r="1185">
      <c r="A1185" s="9">
        <v>1183.0</v>
      </c>
      <c r="B1185" s="10">
        <v>44020.0</v>
      </c>
      <c r="C1185" s="9" t="s">
        <v>1626</v>
      </c>
      <c r="D1185" s="11" t="s">
        <v>2155</v>
      </c>
      <c r="E1185" s="9">
        <v>5.05582405E8</v>
      </c>
      <c r="F1185" s="12" t="s">
        <v>2156</v>
      </c>
      <c r="G1185" s="9" t="s">
        <v>1823</v>
      </c>
      <c r="H1185" s="9" t="s">
        <v>13</v>
      </c>
      <c r="I1185" s="13"/>
      <c r="J1185" s="13"/>
      <c r="K1185" s="14"/>
      <c r="L1185" s="13"/>
      <c r="M1185" s="14"/>
      <c r="N1185" s="15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</row>
    <row r="1186">
      <c r="A1186" s="9">
        <v>1184.0</v>
      </c>
      <c r="B1186" s="10">
        <v>44020.0</v>
      </c>
      <c r="C1186" s="9" t="s">
        <v>1626</v>
      </c>
      <c r="D1186" s="11" t="s">
        <v>2157</v>
      </c>
      <c r="E1186" s="9">
        <v>5.5478488E8</v>
      </c>
      <c r="F1186" s="12" t="s">
        <v>2158</v>
      </c>
      <c r="G1186" s="9" t="s">
        <v>20</v>
      </c>
      <c r="H1186" s="9" t="s">
        <v>260</v>
      </c>
      <c r="I1186" s="13"/>
      <c r="J1186" s="13"/>
      <c r="K1186" s="14"/>
      <c r="L1186" s="13"/>
      <c r="M1186" s="14"/>
      <c r="N1186" s="15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</row>
    <row r="1187">
      <c r="A1187" s="9">
        <v>1185.0</v>
      </c>
      <c r="B1187" s="10">
        <v>44020.0</v>
      </c>
      <c r="C1187" s="9" t="s">
        <v>2127</v>
      </c>
      <c r="D1187" s="11" t="s">
        <v>2159</v>
      </c>
      <c r="E1187" s="17">
        <f>+966506235610</f>
        <v>966506235610</v>
      </c>
      <c r="F1187" s="12" t="s">
        <v>2160</v>
      </c>
      <c r="G1187" s="9" t="s">
        <v>176</v>
      </c>
      <c r="H1187" s="9" t="s">
        <v>81</v>
      </c>
      <c r="I1187" s="13"/>
      <c r="J1187" s="13"/>
      <c r="K1187" s="14"/>
      <c r="L1187" s="13"/>
      <c r="M1187" s="14"/>
      <c r="N1187" s="15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</row>
    <row r="1188">
      <c r="A1188" s="9">
        <v>1186.0</v>
      </c>
      <c r="B1188" s="10">
        <v>44020.0</v>
      </c>
      <c r="C1188" s="9" t="s">
        <v>1635</v>
      </c>
      <c r="D1188" s="11" t="s">
        <v>2161</v>
      </c>
      <c r="E1188" s="17">
        <f>+447770663388</f>
        <v>447770663388</v>
      </c>
      <c r="F1188" s="12" t="s">
        <v>2162</v>
      </c>
      <c r="G1188" s="9" t="s">
        <v>120</v>
      </c>
      <c r="H1188" s="9" t="s">
        <v>41</v>
      </c>
      <c r="I1188" s="13"/>
      <c r="J1188" s="13"/>
      <c r="K1188" s="14"/>
      <c r="L1188" s="13"/>
      <c r="M1188" s="14"/>
      <c r="N1188" s="15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</row>
    <row r="1189">
      <c r="A1189" s="9">
        <v>1187.0</v>
      </c>
      <c r="B1189" s="10">
        <v>44020.0</v>
      </c>
      <c r="C1189" s="9" t="s">
        <v>1635</v>
      </c>
      <c r="D1189" s="11" t="s">
        <v>2163</v>
      </c>
      <c r="E1189" s="17">
        <f>+610452261520</f>
        <v>610452261520</v>
      </c>
      <c r="F1189" s="12" t="s">
        <v>2164</v>
      </c>
      <c r="G1189" s="9" t="s">
        <v>1987</v>
      </c>
      <c r="H1189" s="9" t="s">
        <v>13</v>
      </c>
      <c r="I1189" s="13"/>
      <c r="J1189" s="13"/>
      <c r="K1189" s="14"/>
      <c r="L1189" s="13"/>
      <c r="M1189" s="14"/>
      <c r="N1189" s="15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</row>
    <row r="1190">
      <c r="A1190" s="9">
        <v>1188.0</v>
      </c>
      <c r="B1190" s="10">
        <v>44020.0</v>
      </c>
      <c r="C1190" s="9" t="s">
        <v>1635</v>
      </c>
      <c r="D1190" s="11" t="s">
        <v>2165</v>
      </c>
      <c r="E1190" s="17">
        <f>+447545241568</f>
        <v>447545241568</v>
      </c>
      <c r="F1190" s="12" t="s">
        <v>2166</v>
      </c>
      <c r="G1190" s="9" t="s">
        <v>2126</v>
      </c>
      <c r="H1190" s="9" t="s">
        <v>41</v>
      </c>
      <c r="I1190" s="13"/>
      <c r="J1190" s="13"/>
      <c r="K1190" s="14"/>
      <c r="L1190" s="13"/>
      <c r="M1190" s="14"/>
      <c r="N1190" s="15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</row>
    <row r="1191">
      <c r="A1191" s="9">
        <v>1189.0</v>
      </c>
      <c r="B1191" s="10">
        <v>44019.0</v>
      </c>
      <c r="C1191" s="9" t="s">
        <v>1626</v>
      </c>
      <c r="D1191" s="11" t="s">
        <v>899</v>
      </c>
      <c r="E1191" s="17">
        <f>+971557777281</f>
        <v>971557777281</v>
      </c>
      <c r="F1191" s="12" t="s">
        <v>2167</v>
      </c>
      <c r="G1191" s="9" t="s">
        <v>1823</v>
      </c>
      <c r="H1191" s="9" t="s">
        <v>13</v>
      </c>
      <c r="I1191" s="13"/>
      <c r="J1191" s="13"/>
      <c r="K1191" s="14"/>
      <c r="L1191" s="13"/>
      <c r="M1191" s="14"/>
      <c r="N1191" s="15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</row>
    <row r="1192">
      <c r="A1192" s="9">
        <v>1190.0</v>
      </c>
      <c r="B1192" s="10">
        <v>44019.0</v>
      </c>
      <c r="C1192" s="9" t="s">
        <v>2127</v>
      </c>
      <c r="D1192" s="11" t="s">
        <v>2168</v>
      </c>
      <c r="E1192" s="17">
        <f>+923338965380</f>
        <v>923338965380</v>
      </c>
      <c r="F1192" s="12" t="s">
        <v>2169</v>
      </c>
      <c r="G1192" s="9" t="s">
        <v>80</v>
      </c>
      <c r="H1192" s="9" t="s">
        <v>41</v>
      </c>
      <c r="I1192" s="13"/>
      <c r="J1192" s="13"/>
      <c r="K1192" s="14"/>
      <c r="L1192" s="13"/>
      <c r="M1192" s="14"/>
      <c r="N1192" s="15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</row>
    <row r="1193">
      <c r="A1193" s="9">
        <v>1191.0</v>
      </c>
      <c r="B1193" s="10">
        <v>44019.0</v>
      </c>
      <c r="C1193" s="9" t="s">
        <v>2127</v>
      </c>
      <c r="D1193" s="11" t="s">
        <v>2170</v>
      </c>
      <c r="E1193" s="17">
        <f>+918755089196</f>
        <v>918755089196</v>
      </c>
      <c r="F1193" s="12" t="s">
        <v>2171</v>
      </c>
      <c r="G1193" s="9" t="s">
        <v>300</v>
      </c>
      <c r="H1193" s="9" t="s">
        <v>41</v>
      </c>
      <c r="I1193" s="13"/>
      <c r="J1193" s="13"/>
      <c r="K1193" s="14"/>
      <c r="L1193" s="13"/>
      <c r="M1193" s="14"/>
      <c r="N1193" s="15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</row>
    <row r="1194">
      <c r="A1194" s="9">
        <v>1192.0</v>
      </c>
      <c r="B1194" s="10">
        <v>44019.0</v>
      </c>
      <c r="C1194" s="9" t="s">
        <v>1635</v>
      </c>
      <c r="D1194" s="11" t="s">
        <v>2172</v>
      </c>
      <c r="E1194" s="17">
        <f>+8618664000952</f>
        <v>8618664000952</v>
      </c>
      <c r="F1194" s="12" t="s">
        <v>2173</v>
      </c>
      <c r="G1194" s="9" t="s">
        <v>2126</v>
      </c>
      <c r="H1194" s="9" t="s">
        <v>17</v>
      </c>
      <c r="I1194" s="13"/>
      <c r="J1194" s="13"/>
      <c r="K1194" s="14"/>
      <c r="L1194" s="13"/>
      <c r="M1194" s="14"/>
      <c r="N1194" s="15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</row>
    <row r="1195">
      <c r="A1195" s="9">
        <v>1193.0</v>
      </c>
      <c r="B1195" s="10">
        <v>44019.0</v>
      </c>
      <c r="C1195" s="9" t="s">
        <v>1626</v>
      </c>
      <c r="D1195" s="11" t="s">
        <v>2174</v>
      </c>
      <c r="E1195" s="17">
        <f>+971-5-565-29757</f>
        <v>-29356</v>
      </c>
      <c r="F1195" s="12" t="s">
        <v>2175</v>
      </c>
      <c r="G1195" s="9" t="s">
        <v>20</v>
      </c>
      <c r="H1195" s="9" t="s">
        <v>17</v>
      </c>
      <c r="I1195" s="13"/>
      <c r="J1195" s="13"/>
      <c r="K1195" s="14"/>
      <c r="L1195" s="13"/>
      <c r="M1195" s="14"/>
      <c r="N1195" s="15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</row>
    <row r="1196">
      <c r="A1196" s="9">
        <v>1194.0</v>
      </c>
      <c r="B1196" s="10">
        <v>44019.0</v>
      </c>
      <c r="C1196" s="9" t="s">
        <v>401</v>
      </c>
      <c r="D1196" s="16" t="s">
        <v>2176</v>
      </c>
      <c r="E1196" s="17">
        <f>+966543216119</f>
        <v>966543216119</v>
      </c>
      <c r="F1196" s="12" t="s">
        <v>2177</v>
      </c>
      <c r="G1196" s="9" t="s">
        <v>184</v>
      </c>
      <c r="H1196" s="9" t="s">
        <v>385</v>
      </c>
      <c r="I1196" s="13"/>
      <c r="J1196" s="13"/>
      <c r="K1196" s="14"/>
      <c r="L1196" s="13"/>
      <c r="M1196" s="22"/>
      <c r="N1196" s="15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</row>
    <row r="1197">
      <c r="A1197" s="9">
        <v>1195.0</v>
      </c>
      <c r="B1197" s="10">
        <v>44019.0</v>
      </c>
      <c r="C1197" s="9" t="s">
        <v>401</v>
      </c>
      <c r="D1197" s="16" t="s">
        <v>2178</v>
      </c>
      <c r="E1197" s="17">
        <f>+966581060725</f>
        <v>966581060725</v>
      </c>
      <c r="F1197" s="12" t="s">
        <v>2179</v>
      </c>
      <c r="G1197" s="9" t="s">
        <v>184</v>
      </c>
      <c r="H1197" s="9" t="s">
        <v>385</v>
      </c>
      <c r="I1197" s="13"/>
      <c r="J1197" s="13"/>
      <c r="K1197" s="14"/>
      <c r="L1197" s="13"/>
      <c r="M1197" s="22"/>
      <c r="N1197" s="15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</row>
    <row r="1198">
      <c r="A1198" s="9">
        <v>1196.0</v>
      </c>
      <c r="B1198" s="10">
        <v>44019.0</v>
      </c>
      <c r="C1198" s="9" t="s">
        <v>1626</v>
      </c>
      <c r="D1198" s="11" t="s">
        <v>2180</v>
      </c>
      <c r="E1198" s="17">
        <f>+962-7-9999-5361</f>
        <v>-14405</v>
      </c>
      <c r="F1198" s="12" t="s">
        <v>2181</v>
      </c>
      <c r="G1198" s="9" t="s">
        <v>176</v>
      </c>
      <c r="H1198" s="9" t="s">
        <v>17</v>
      </c>
      <c r="I1198" s="13"/>
      <c r="J1198" s="13"/>
      <c r="K1198" s="14"/>
      <c r="L1198" s="13"/>
      <c r="M1198" s="14"/>
      <c r="N1198" s="15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</row>
    <row r="1199">
      <c r="A1199" s="9">
        <v>1197.0</v>
      </c>
      <c r="B1199" s="10">
        <v>44014.0</v>
      </c>
      <c r="C1199" s="9" t="s">
        <v>47</v>
      </c>
      <c r="D1199" s="11" t="s">
        <v>2182</v>
      </c>
      <c r="E1199" s="9">
        <v>9.71586451021E11</v>
      </c>
      <c r="F1199" s="12" t="s">
        <v>2183</v>
      </c>
      <c r="G1199" s="9" t="s">
        <v>1039</v>
      </c>
      <c r="H1199" s="9" t="s">
        <v>81</v>
      </c>
      <c r="I1199" s="13"/>
      <c r="J1199" s="13"/>
      <c r="K1199" s="14"/>
      <c r="L1199" s="13"/>
      <c r="M1199" s="14"/>
      <c r="N1199" s="15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</row>
    <row r="1200">
      <c r="A1200" s="9">
        <v>1198.0</v>
      </c>
      <c r="B1200" s="10">
        <v>44014.0</v>
      </c>
      <c r="C1200" s="9" t="s">
        <v>2127</v>
      </c>
      <c r="D1200" s="11" t="s">
        <v>2184</v>
      </c>
      <c r="E1200" s="17">
        <f>+8801711565979</f>
        <v>8801711565979</v>
      </c>
      <c r="F1200" s="12" t="s">
        <v>2185</v>
      </c>
      <c r="G1200" s="9" t="s">
        <v>80</v>
      </c>
      <c r="H1200" s="9" t="s">
        <v>41</v>
      </c>
      <c r="I1200" s="13"/>
      <c r="J1200" s="13"/>
      <c r="K1200" s="14"/>
      <c r="L1200" s="13"/>
      <c r="M1200" s="14"/>
      <c r="N1200" s="15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</row>
    <row r="1201">
      <c r="A1201" s="9">
        <v>1199.0</v>
      </c>
      <c r="B1201" s="10">
        <v>44014.0</v>
      </c>
      <c r="C1201" s="9" t="s">
        <v>1626</v>
      </c>
      <c r="D1201" s="11" t="s">
        <v>2186</v>
      </c>
      <c r="E1201" s="9">
        <v>0.0</v>
      </c>
      <c r="F1201" s="12" t="s">
        <v>2187</v>
      </c>
      <c r="G1201" s="9" t="s">
        <v>184</v>
      </c>
      <c r="H1201" s="9" t="s">
        <v>385</v>
      </c>
      <c r="I1201" s="13"/>
      <c r="J1201" s="13"/>
      <c r="K1201" s="14"/>
      <c r="L1201" s="13"/>
      <c r="M1201" s="14"/>
      <c r="N1201" s="15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</row>
    <row r="1202">
      <c r="A1202" s="9">
        <v>1200.0</v>
      </c>
      <c r="B1202" s="10">
        <v>44014.0</v>
      </c>
      <c r="C1202" s="9" t="s">
        <v>2127</v>
      </c>
      <c r="D1202" s="11" t="s">
        <v>2188</v>
      </c>
      <c r="E1202" s="17">
        <f>+971564411169</f>
        <v>971564411169</v>
      </c>
      <c r="F1202" s="12" t="s">
        <v>2189</v>
      </c>
      <c r="G1202" s="9" t="s">
        <v>432</v>
      </c>
      <c r="H1202" s="9" t="s">
        <v>21</v>
      </c>
      <c r="I1202" s="13"/>
      <c r="J1202" s="13"/>
      <c r="K1202" s="14"/>
      <c r="L1202" s="13"/>
      <c r="M1202" s="14"/>
      <c r="N1202" s="15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</row>
    <row r="1203">
      <c r="A1203" s="9">
        <v>1201.0</v>
      </c>
      <c r="B1203" s="10">
        <v>44014.0</v>
      </c>
      <c r="C1203" s="9" t="s">
        <v>401</v>
      </c>
      <c r="D1203" s="16" t="s">
        <v>2178</v>
      </c>
      <c r="E1203" s="17">
        <f>+966581060725</f>
        <v>966581060725</v>
      </c>
      <c r="F1203" s="12" t="s">
        <v>2179</v>
      </c>
      <c r="G1203" s="9" t="s">
        <v>184</v>
      </c>
      <c r="H1203" s="9" t="s">
        <v>385</v>
      </c>
      <c r="I1203" s="13"/>
      <c r="J1203" s="13"/>
      <c r="K1203" s="14"/>
      <c r="L1203" s="13"/>
      <c r="M1203" s="22"/>
      <c r="N1203" s="15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</row>
    <row r="1204">
      <c r="A1204" s="9">
        <v>1202.0</v>
      </c>
      <c r="B1204" s="10">
        <v>44014.0</v>
      </c>
      <c r="C1204" s="9" t="s">
        <v>2127</v>
      </c>
      <c r="D1204" s="11" t="s">
        <v>2190</v>
      </c>
      <c r="E1204" s="17">
        <f>+966555640818</f>
        <v>966555640818</v>
      </c>
      <c r="F1204" s="12" t="s">
        <v>2191</v>
      </c>
      <c r="G1204" s="9" t="s">
        <v>627</v>
      </c>
      <c r="H1204" s="9" t="s">
        <v>41</v>
      </c>
      <c r="I1204" s="13"/>
      <c r="J1204" s="13"/>
      <c r="K1204" s="14"/>
      <c r="L1204" s="13"/>
      <c r="M1204" s="14"/>
      <c r="N1204" s="15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</row>
    <row r="1205">
      <c r="A1205" s="9">
        <v>1203.0</v>
      </c>
      <c r="B1205" s="10">
        <v>44014.0</v>
      </c>
      <c r="C1205" s="9" t="s">
        <v>401</v>
      </c>
      <c r="D1205" s="16" t="s">
        <v>2192</v>
      </c>
      <c r="E1205" s="17">
        <f>+966543216119</f>
        <v>966543216119</v>
      </c>
      <c r="F1205" s="12" t="s">
        <v>2177</v>
      </c>
      <c r="G1205" s="9" t="s">
        <v>184</v>
      </c>
      <c r="H1205" s="9" t="s">
        <v>385</v>
      </c>
      <c r="I1205" s="13"/>
      <c r="J1205" s="13"/>
      <c r="K1205" s="14"/>
      <c r="L1205" s="13"/>
      <c r="M1205" s="22"/>
      <c r="N1205" s="15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</row>
    <row r="1206">
      <c r="A1206" s="9">
        <v>1204.0</v>
      </c>
      <c r="B1206" s="10">
        <v>44013.0</v>
      </c>
      <c r="C1206" s="9" t="s">
        <v>47</v>
      </c>
      <c r="D1206" s="11" t="s">
        <v>2193</v>
      </c>
      <c r="E1206" s="9">
        <v>9.71504484434E11</v>
      </c>
      <c r="F1206" s="12" t="s">
        <v>2194</v>
      </c>
      <c r="G1206" s="9" t="s">
        <v>300</v>
      </c>
      <c r="H1206" s="9" t="s">
        <v>17</v>
      </c>
      <c r="I1206" s="13"/>
      <c r="J1206" s="13"/>
      <c r="K1206" s="14"/>
      <c r="L1206" s="13"/>
      <c r="M1206" s="14"/>
      <c r="N1206" s="15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</row>
    <row r="1207">
      <c r="A1207" s="9">
        <v>1205.0</v>
      </c>
      <c r="B1207" s="10">
        <v>44013.0</v>
      </c>
      <c r="C1207" s="9" t="s">
        <v>1626</v>
      </c>
      <c r="D1207" s="11" t="s">
        <v>2195</v>
      </c>
      <c r="E1207" s="9">
        <v>5.09158767E8</v>
      </c>
      <c r="F1207" s="12" t="s">
        <v>2196</v>
      </c>
      <c r="G1207" s="9" t="s">
        <v>35</v>
      </c>
      <c r="H1207" s="9" t="s">
        <v>206</v>
      </c>
      <c r="I1207" s="13"/>
      <c r="J1207" s="13"/>
      <c r="K1207" s="14"/>
      <c r="L1207" s="13"/>
      <c r="M1207" s="14"/>
      <c r="N1207" s="15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</row>
    <row r="1208">
      <c r="A1208" s="9">
        <v>1206.0</v>
      </c>
      <c r="B1208" s="10">
        <v>44013.0</v>
      </c>
      <c r="C1208" s="9" t="s">
        <v>1626</v>
      </c>
      <c r="D1208" s="11" t="s">
        <v>2197</v>
      </c>
      <c r="E1208" s="9">
        <v>9.71555132023E11</v>
      </c>
      <c r="F1208" s="12" t="s">
        <v>2198</v>
      </c>
      <c r="G1208" s="9" t="s">
        <v>35</v>
      </c>
      <c r="H1208" s="9" t="s">
        <v>206</v>
      </c>
      <c r="I1208" s="13"/>
      <c r="J1208" s="13"/>
      <c r="K1208" s="14"/>
      <c r="L1208" s="13"/>
      <c r="M1208" s="14"/>
      <c r="N1208" s="15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</row>
    <row r="1209">
      <c r="A1209" s="9">
        <v>1207.0</v>
      </c>
      <c r="B1209" s="10">
        <v>44013.0</v>
      </c>
      <c r="C1209" s="9" t="s">
        <v>1626</v>
      </c>
      <c r="D1209" s="11" t="s">
        <v>2199</v>
      </c>
      <c r="E1209" s="9">
        <v>9.66504665897E11</v>
      </c>
      <c r="F1209" s="12" t="s">
        <v>2200</v>
      </c>
      <c r="G1209" s="9" t="s">
        <v>627</v>
      </c>
      <c r="H1209" s="9" t="s">
        <v>17</v>
      </c>
      <c r="I1209" s="13"/>
      <c r="J1209" s="13"/>
      <c r="K1209" s="14"/>
      <c r="L1209" s="13"/>
      <c r="M1209" s="14"/>
      <c r="N1209" s="15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</row>
    <row r="1210">
      <c r="A1210" s="9">
        <v>1208.0</v>
      </c>
      <c r="B1210" s="10">
        <v>44013.0</v>
      </c>
      <c r="C1210" s="9" t="s">
        <v>47</v>
      </c>
      <c r="D1210" s="11" t="s">
        <v>2201</v>
      </c>
      <c r="E1210" s="9">
        <v>9.710558814411E12</v>
      </c>
      <c r="F1210" s="12" t="s">
        <v>2202</v>
      </c>
      <c r="G1210" s="9" t="s">
        <v>12</v>
      </c>
      <c r="H1210" s="9" t="s">
        <v>17</v>
      </c>
      <c r="I1210" s="13"/>
      <c r="J1210" s="13"/>
      <c r="K1210" s="14"/>
      <c r="L1210" s="13"/>
      <c r="M1210" s="14"/>
      <c r="N1210" s="15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</row>
    <row r="1211">
      <c r="A1211" s="9">
        <v>1209.0</v>
      </c>
      <c r="B1211" s="10">
        <v>44013.0</v>
      </c>
      <c r="C1211" s="9" t="s">
        <v>47</v>
      </c>
      <c r="D1211" s="11" t="s">
        <v>2203</v>
      </c>
      <c r="E1211" s="9">
        <v>9.71505100103E11</v>
      </c>
      <c r="F1211" s="12" t="s">
        <v>2204</v>
      </c>
      <c r="G1211" s="9" t="s">
        <v>176</v>
      </c>
      <c r="H1211" s="9" t="s">
        <v>81</v>
      </c>
      <c r="I1211" s="13"/>
      <c r="J1211" s="13"/>
      <c r="K1211" s="14"/>
      <c r="L1211" s="13"/>
      <c r="M1211" s="14"/>
      <c r="N1211" s="15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</row>
    <row r="1212">
      <c r="A1212" s="9">
        <v>1210.0</v>
      </c>
      <c r="B1212" s="10">
        <v>44013.0</v>
      </c>
      <c r="C1212" s="9" t="s">
        <v>1626</v>
      </c>
      <c r="D1212" s="11" t="s">
        <v>84</v>
      </c>
      <c r="E1212" s="9">
        <v>5.51096776E8</v>
      </c>
      <c r="F1212" s="12" t="s">
        <v>2205</v>
      </c>
      <c r="G1212" s="9" t="s">
        <v>35</v>
      </c>
      <c r="H1212" s="9" t="s">
        <v>206</v>
      </c>
      <c r="I1212" s="13"/>
      <c r="J1212" s="13"/>
      <c r="K1212" s="14"/>
      <c r="L1212" s="13"/>
      <c r="M1212" s="14"/>
      <c r="N1212" s="15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</row>
    <row r="1213">
      <c r="A1213" s="9">
        <v>1211.0</v>
      </c>
      <c r="B1213" s="10">
        <v>44013.0</v>
      </c>
      <c r="C1213" s="9" t="s">
        <v>401</v>
      </c>
      <c r="D1213" s="16" t="s">
        <v>2206</v>
      </c>
      <c r="E1213" s="9">
        <v>5.52920281E8</v>
      </c>
      <c r="F1213" s="12" t="s">
        <v>2207</v>
      </c>
      <c r="G1213" s="9" t="s">
        <v>184</v>
      </c>
      <c r="H1213" s="9" t="s">
        <v>385</v>
      </c>
      <c r="I1213" s="13"/>
      <c r="J1213" s="13"/>
      <c r="K1213" s="14"/>
      <c r="L1213" s="13"/>
      <c r="M1213" s="22"/>
      <c r="N1213" s="15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</row>
    <row r="1214">
      <c r="A1214" s="9">
        <v>1212.0</v>
      </c>
      <c r="B1214" s="10">
        <v>44013.0</v>
      </c>
      <c r="C1214" s="9" t="s">
        <v>1626</v>
      </c>
      <c r="D1214" s="11" t="s">
        <v>2208</v>
      </c>
      <c r="E1214" s="17">
        <f>+85265415964</f>
        <v>85265415964</v>
      </c>
      <c r="F1214" s="12" t="s">
        <v>2209</v>
      </c>
      <c r="G1214" s="9" t="s">
        <v>134</v>
      </c>
      <c r="H1214" s="9" t="s">
        <v>41</v>
      </c>
      <c r="I1214" s="13"/>
      <c r="J1214" s="13"/>
      <c r="K1214" s="14"/>
      <c r="L1214" s="13"/>
      <c r="M1214" s="14"/>
      <c r="N1214" s="15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</row>
    <row r="1215">
      <c r="A1215" s="9">
        <v>1213.0</v>
      </c>
      <c r="B1215" s="10">
        <v>44013.0</v>
      </c>
      <c r="C1215" s="9" t="s">
        <v>1635</v>
      </c>
      <c r="D1215" s="11" t="s">
        <v>2210</v>
      </c>
      <c r="E1215" s="17">
        <f>+85290944455</f>
        <v>85290944455</v>
      </c>
      <c r="F1215" s="12" t="s">
        <v>2211</v>
      </c>
      <c r="G1215" s="9" t="s">
        <v>2126</v>
      </c>
      <c r="H1215" s="9" t="s">
        <v>41</v>
      </c>
      <c r="I1215" s="13"/>
      <c r="J1215" s="13"/>
      <c r="K1215" s="14"/>
      <c r="L1215" s="13"/>
      <c r="M1215" s="14"/>
      <c r="N1215" s="15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</row>
    <row r="1216">
      <c r="A1216" s="9">
        <v>1214.0</v>
      </c>
      <c r="B1216" s="10">
        <v>44012.0</v>
      </c>
      <c r="C1216" s="9" t="s">
        <v>47</v>
      </c>
      <c r="D1216" s="11" t="s">
        <v>2212</v>
      </c>
      <c r="E1216" s="9">
        <v>5.63987983E8</v>
      </c>
      <c r="F1216" s="12" t="s">
        <v>1562</v>
      </c>
      <c r="G1216" s="9" t="s">
        <v>134</v>
      </c>
      <c r="H1216" s="9" t="s">
        <v>17</v>
      </c>
      <c r="I1216" s="13"/>
      <c r="J1216" s="13"/>
      <c r="K1216" s="14"/>
      <c r="L1216" s="13"/>
      <c r="M1216" s="14"/>
      <c r="N1216" s="15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</row>
    <row r="1217">
      <c r="A1217" s="9">
        <v>1215.0</v>
      </c>
      <c r="B1217" s="10">
        <v>44012.0</v>
      </c>
      <c r="C1217" s="9" t="s">
        <v>47</v>
      </c>
      <c r="D1217" s="16" t="s">
        <v>2213</v>
      </c>
      <c r="E1217" s="9">
        <v>9.710508798852E12</v>
      </c>
      <c r="F1217" s="12" t="s">
        <v>2214</v>
      </c>
      <c r="G1217" s="9" t="s">
        <v>25</v>
      </c>
      <c r="H1217" s="9" t="s">
        <v>17</v>
      </c>
      <c r="I1217" s="13"/>
      <c r="J1217" s="13"/>
      <c r="K1217" s="14"/>
      <c r="L1217" s="13"/>
      <c r="M1217" s="22"/>
      <c r="N1217" s="15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</row>
    <row r="1218">
      <c r="A1218" s="9">
        <v>1216.0</v>
      </c>
      <c r="B1218" s="10">
        <v>44012.0</v>
      </c>
      <c r="C1218" s="9" t="s">
        <v>2127</v>
      </c>
      <c r="D1218" s="11" t="s">
        <v>2215</v>
      </c>
      <c r="E1218" s="17">
        <f>+971551158944</f>
        <v>971551158944</v>
      </c>
      <c r="F1218" s="12" t="s">
        <v>2216</v>
      </c>
      <c r="G1218" s="9" t="s">
        <v>176</v>
      </c>
      <c r="H1218" s="9" t="s">
        <v>41</v>
      </c>
      <c r="I1218" s="13"/>
      <c r="J1218" s="13"/>
      <c r="K1218" s="14"/>
      <c r="L1218" s="13"/>
      <c r="M1218" s="14"/>
      <c r="N1218" s="15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</row>
    <row r="1219">
      <c r="A1219" s="9">
        <v>1217.0</v>
      </c>
      <c r="B1219" s="10">
        <v>44012.0</v>
      </c>
      <c r="C1219" s="9" t="s">
        <v>1635</v>
      </c>
      <c r="D1219" s="11" t="s">
        <v>2217</v>
      </c>
      <c r="E1219" s="17">
        <f>+85268781266</f>
        <v>85268781266</v>
      </c>
      <c r="F1219" s="12" t="s">
        <v>2218</v>
      </c>
      <c r="G1219" s="9" t="s">
        <v>2126</v>
      </c>
      <c r="H1219" s="9" t="s">
        <v>17</v>
      </c>
      <c r="I1219" s="13"/>
      <c r="J1219" s="13"/>
      <c r="K1219" s="14"/>
      <c r="L1219" s="13"/>
      <c r="M1219" s="14"/>
      <c r="N1219" s="15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</row>
    <row r="1220">
      <c r="A1220" s="9">
        <v>1218.0</v>
      </c>
      <c r="B1220" s="10">
        <v>44012.0</v>
      </c>
      <c r="C1220" s="9" t="s">
        <v>401</v>
      </c>
      <c r="D1220" s="11" t="s">
        <v>2219</v>
      </c>
      <c r="E1220" s="17">
        <f>+966504849669</f>
        <v>966504849669</v>
      </c>
      <c r="F1220" s="12" t="s">
        <v>2220</v>
      </c>
      <c r="G1220" s="9" t="s">
        <v>184</v>
      </c>
      <c r="H1220" s="9" t="s">
        <v>385</v>
      </c>
      <c r="I1220" s="13"/>
      <c r="J1220" s="13"/>
      <c r="K1220" s="14"/>
      <c r="L1220" s="13"/>
      <c r="M1220" s="14"/>
      <c r="N1220" s="15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</row>
    <row r="1221">
      <c r="A1221" s="9">
        <v>1219.0</v>
      </c>
      <c r="B1221" s="10">
        <v>44012.0</v>
      </c>
      <c r="C1221" s="9" t="s">
        <v>2127</v>
      </c>
      <c r="D1221" s="11" t="s">
        <v>2221</v>
      </c>
      <c r="E1221" s="17">
        <f>+971525561519</f>
        <v>971525561519</v>
      </c>
      <c r="F1221" s="12" t="s">
        <v>2222</v>
      </c>
      <c r="G1221" s="9" t="s">
        <v>80</v>
      </c>
      <c r="H1221" s="9" t="s">
        <v>17</v>
      </c>
      <c r="I1221" s="13"/>
      <c r="J1221" s="13"/>
      <c r="K1221" s="14"/>
      <c r="L1221" s="13"/>
      <c r="M1221" s="14"/>
      <c r="N1221" s="15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</row>
    <row r="1222">
      <c r="A1222" s="9">
        <v>1220.0</v>
      </c>
      <c r="B1222" s="10">
        <v>44011.0</v>
      </c>
      <c r="C1222" s="9" t="s">
        <v>47</v>
      </c>
      <c r="D1222" s="11" t="s">
        <v>2223</v>
      </c>
      <c r="E1222" s="9">
        <v>9.710585819E12</v>
      </c>
      <c r="F1222" s="12" t="s">
        <v>2224</v>
      </c>
      <c r="G1222" s="9" t="s">
        <v>300</v>
      </c>
      <c r="H1222" s="9" t="s">
        <v>17</v>
      </c>
      <c r="I1222" s="13"/>
      <c r="J1222" s="13"/>
      <c r="K1222" s="14"/>
      <c r="L1222" s="13"/>
      <c r="M1222" s="14"/>
      <c r="N1222" s="15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</row>
    <row r="1223">
      <c r="A1223" s="9">
        <v>1221.0</v>
      </c>
      <c r="B1223" s="10">
        <v>44011.0</v>
      </c>
      <c r="C1223" s="9" t="s">
        <v>47</v>
      </c>
      <c r="D1223" s="11" t="s">
        <v>2225</v>
      </c>
      <c r="E1223" s="9">
        <v>9.71547711607E11</v>
      </c>
      <c r="F1223" s="12" t="s">
        <v>2226</v>
      </c>
      <c r="G1223" s="9" t="s">
        <v>184</v>
      </c>
      <c r="H1223" s="9" t="s">
        <v>385</v>
      </c>
      <c r="I1223" s="13"/>
      <c r="J1223" s="13"/>
      <c r="K1223" s="14"/>
      <c r="L1223" s="13"/>
      <c r="M1223" s="14"/>
      <c r="N1223" s="15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</row>
    <row r="1224">
      <c r="A1224" s="9">
        <v>1222.0</v>
      </c>
      <c r="B1224" s="10">
        <v>44011.0</v>
      </c>
      <c r="C1224" s="9" t="s">
        <v>47</v>
      </c>
      <c r="D1224" s="11" t="s">
        <v>2227</v>
      </c>
      <c r="E1224" s="9">
        <v>9.71506778033E11</v>
      </c>
      <c r="F1224" s="12" t="s">
        <v>2228</v>
      </c>
      <c r="G1224" s="9" t="s">
        <v>1221</v>
      </c>
      <c r="H1224" s="9" t="s">
        <v>17</v>
      </c>
      <c r="I1224" s="13"/>
      <c r="J1224" s="13"/>
      <c r="K1224" s="14"/>
      <c r="L1224" s="13"/>
      <c r="M1224" s="14"/>
      <c r="N1224" s="15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</row>
    <row r="1225">
      <c r="A1225" s="9">
        <v>1223.0</v>
      </c>
      <c r="B1225" s="10">
        <v>44011.0</v>
      </c>
      <c r="C1225" s="9" t="s">
        <v>47</v>
      </c>
      <c r="D1225" s="11" t="s">
        <v>2229</v>
      </c>
      <c r="E1225" s="9">
        <v>9.710527891212E12</v>
      </c>
      <c r="F1225" s="12" t="s">
        <v>2230</v>
      </c>
      <c r="G1225" s="9" t="s">
        <v>35</v>
      </c>
      <c r="H1225" s="9" t="s">
        <v>206</v>
      </c>
      <c r="I1225" s="13"/>
      <c r="J1225" s="13"/>
      <c r="K1225" s="14"/>
      <c r="L1225" s="13"/>
      <c r="M1225" s="14"/>
      <c r="N1225" s="15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</row>
    <row r="1226">
      <c r="A1226" s="9">
        <v>1224.0</v>
      </c>
      <c r="B1226" s="10">
        <v>44011.0</v>
      </c>
      <c r="C1226" s="9" t="s">
        <v>47</v>
      </c>
      <c r="D1226" s="11" t="s">
        <v>2231</v>
      </c>
      <c r="E1226" s="9">
        <v>9.710509912997E12</v>
      </c>
      <c r="F1226" s="12" t="s">
        <v>2232</v>
      </c>
      <c r="G1226" s="9" t="s">
        <v>300</v>
      </c>
      <c r="H1226" s="9" t="s">
        <v>41</v>
      </c>
      <c r="I1226" s="13"/>
      <c r="J1226" s="13"/>
      <c r="K1226" s="14"/>
      <c r="L1226" s="13"/>
      <c r="M1226" s="14"/>
      <c r="N1226" s="15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</row>
    <row r="1227">
      <c r="A1227" s="9">
        <v>1225.0</v>
      </c>
      <c r="B1227" s="10">
        <v>44011.0</v>
      </c>
      <c r="C1227" s="9" t="s">
        <v>47</v>
      </c>
      <c r="D1227" s="11" t="s">
        <v>2233</v>
      </c>
      <c r="E1227" s="9">
        <v>9.710558883305E12</v>
      </c>
      <c r="F1227" s="12" t="s">
        <v>2234</v>
      </c>
      <c r="G1227" s="9" t="s">
        <v>432</v>
      </c>
      <c r="H1227" s="9" t="s">
        <v>260</v>
      </c>
      <c r="I1227" s="13"/>
      <c r="J1227" s="13"/>
      <c r="K1227" s="14"/>
      <c r="L1227" s="13"/>
      <c r="M1227" s="14"/>
      <c r="N1227" s="15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</row>
    <row r="1228">
      <c r="A1228" s="9">
        <v>1226.0</v>
      </c>
      <c r="B1228" s="10">
        <v>44011.0</v>
      </c>
      <c r="C1228" s="9" t="s">
        <v>2235</v>
      </c>
      <c r="D1228" s="11" t="s">
        <v>2236</v>
      </c>
      <c r="E1228" s="17">
        <f>+971508189038</f>
        <v>971508189038</v>
      </c>
      <c r="F1228" s="12" t="s">
        <v>2237</v>
      </c>
      <c r="G1228" s="9" t="s">
        <v>134</v>
      </c>
      <c r="H1228" s="9" t="s">
        <v>17</v>
      </c>
      <c r="I1228" s="13"/>
      <c r="J1228" s="13"/>
      <c r="K1228" s="14"/>
      <c r="L1228" s="13"/>
      <c r="M1228" s="14"/>
      <c r="N1228" s="15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</row>
    <row r="1229">
      <c r="A1229" s="9">
        <v>1227.0</v>
      </c>
      <c r="B1229" s="10">
        <v>44011.0</v>
      </c>
      <c r="C1229" s="9" t="s">
        <v>1635</v>
      </c>
      <c r="D1229" s="11" t="s">
        <v>2238</v>
      </c>
      <c r="E1229" s="17">
        <f>+61432093968</f>
        <v>61432093968</v>
      </c>
      <c r="F1229" s="12" t="s">
        <v>2239</v>
      </c>
      <c r="G1229" s="9" t="s">
        <v>414</v>
      </c>
      <c r="H1229" s="9" t="s">
        <v>41</v>
      </c>
      <c r="I1229" s="13"/>
      <c r="J1229" s="13"/>
      <c r="K1229" s="14"/>
      <c r="L1229" s="13"/>
      <c r="M1229" s="14"/>
      <c r="N1229" s="15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</row>
    <row r="1230">
      <c r="A1230" s="9">
        <v>1228.0</v>
      </c>
      <c r="B1230" s="10">
        <v>44011.0</v>
      </c>
      <c r="C1230" s="9" t="s">
        <v>2127</v>
      </c>
      <c r="D1230" s="11" t="s">
        <v>2240</v>
      </c>
      <c r="E1230" s="17">
        <f>+96555557555</f>
        <v>96555557555</v>
      </c>
      <c r="F1230" s="12" t="s">
        <v>2241</v>
      </c>
      <c r="G1230" s="9" t="s">
        <v>40</v>
      </c>
      <c r="H1230" s="9" t="s">
        <v>41</v>
      </c>
      <c r="I1230" s="13"/>
      <c r="J1230" s="13"/>
      <c r="K1230" s="14"/>
      <c r="L1230" s="13"/>
      <c r="M1230" s="14"/>
      <c r="N1230" s="15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</row>
    <row r="1231">
      <c r="A1231" s="9">
        <v>1229.0</v>
      </c>
      <c r="B1231" s="10">
        <v>44011.0</v>
      </c>
      <c r="C1231" s="9" t="s">
        <v>401</v>
      </c>
      <c r="D1231" s="16" t="s">
        <v>2242</v>
      </c>
      <c r="E1231" s="17">
        <f>+9660556379916</f>
        <v>9660556379916</v>
      </c>
      <c r="F1231" s="12" t="s">
        <v>2243</v>
      </c>
      <c r="G1231" s="9" t="s">
        <v>184</v>
      </c>
      <c r="H1231" s="9" t="s">
        <v>385</v>
      </c>
      <c r="I1231" s="13"/>
      <c r="J1231" s="13"/>
      <c r="K1231" s="14"/>
      <c r="L1231" s="13"/>
      <c r="M1231" s="22"/>
      <c r="N1231" s="15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</row>
    <row r="1232">
      <c r="A1232" s="9">
        <v>1230.0</v>
      </c>
      <c r="B1232" s="10">
        <v>44011.0</v>
      </c>
      <c r="C1232" s="9" t="s">
        <v>401</v>
      </c>
      <c r="D1232" s="16" t="s">
        <v>2244</v>
      </c>
      <c r="E1232" s="17">
        <f>+9660503209136</f>
        <v>9660503209136</v>
      </c>
      <c r="F1232" s="12" t="s">
        <v>2245</v>
      </c>
      <c r="G1232" s="9" t="s">
        <v>184</v>
      </c>
      <c r="H1232" s="9" t="s">
        <v>385</v>
      </c>
      <c r="I1232" s="13"/>
      <c r="J1232" s="13"/>
      <c r="K1232" s="14"/>
      <c r="L1232" s="13"/>
      <c r="M1232" s="22"/>
      <c r="N1232" s="15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</row>
    <row r="1233">
      <c r="A1233" s="9">
        <v>1231.0</v>
      </c>
      <c r="B1233" s="10">
        <v>44010.0</v>
      </c>
      <c r="C1233" s="9" t="s">
        <v>47</v>
      </c>
      <c r="D1233" s="11" t="s">
        <v>2246</v>
      </c>
      <c r="E1233" s="9">
        <v>9.710505000056E12</v>
      </c>
      <c r="F1233" s="12" t="s">
        <v>2247</v>
      </c>
      <c r="G1233" s="9" t="s">
        <v>20</v>
      </c>
      <c r="H1233" s="9" t="s">
        <v>654</v>
      </c>
      <c r="I1233" s="13"/>
      <c r="J1233" s="13"/>
      <c r="K1233" s="14"/>
      <c r="L1233" s="13"/>
      <c r="M1233" s="14"/>
      <c r="N1233" s="15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</row>
    <row r="1234">
      <c r="A1234" s="9">
        <v>1232.0</v>
      </c>
      <c r="B1234" s="10">
        <v>44010.0</v>
      </c>
      <c r="C1234" s="9" t="s">
        <v>1635</v>
      </c>
      <c r="D1234" s="11" t="s">
        <v>2248</v>
      </c>
      <c r="E1234" s="17">
        <f>+17789914488</f>
        <v>17789914488</v>
      </c>
      <c r="F1234" s="12" t="s">
        <v>2249</v>
      </c>
      <c r="G1234" s="9" t="s">
        <v>2126</v>
      </c>
      <c r="H1234" s="9" t="s">
        <v>17</v>
      </c>
      <c r="I1234" s="13"/>
      <c r="J1234" s="13"/>
      <c r="K1234" s="14"/>
      <c r="L1234" s="13"/>
      <c r="M1234" s="14"/>
      <c r="N1234" s="15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</row>
    <row r="1235">
      <c r="A1235" s="9">
        <v>1233.0</v>
      </c>
      <c r="B1235" s="10">
        <v>44010.0</v>
      </c>
      <c r="C1235" s="9" t="s">
        <v>1635</v>
      </c>
      <c r="D1235" s="11" t="s">
        <v>2250</v>
      </c>
      <c r="E1235" s="17">
        <f>+447902876026</f>
        <v>447902876026</v>
      </c>
      <c r="F1235" s="12" t="s">
        <v>2251</v>
      </c>
      <c r="G1235" s="9" t="s">
        <v>123</v>
      </c>
      <c r="H1235" s="9" t="s">
        <v>337</v>
      </c>
      <c r="I1235" s="13"/>
      <c r="J1235" s="13"/>
      <c r="K1235" s="14"/>
      <c r="L1235" s="13"/>
      <c r="M1235" s="14"/>
      <c r="N1235" s="15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</row>
    <row r="1236">
      <c r="A1236" s="9">
        <v>1234.0</v>
      </c>
      <c r="B1236" s="10">
        <v>44010.0</v>
      </c>
      <c r="C1236" s="9" t="s">
        <v>2235</v>
      </c>
      <c r="D1236" s="11" t="s">
        <v>2252</v>
      </c>
      <c r="E1236" s="17">
        <f>+971527110003</f>
        <v>971527110003</v>
      </c>
      <c r="F1236" s="12" t="s">
        <v>2253</v>
      </c>
      <c r="G1236" s="9" t="s">
        <v>432</v>
      </c>
      <c r="H1236" s="9" t="s">
        <v>260</v>
      </c>
      <c r="I1236" s="13"/>
      <c r="J1236" s="13"/>
      <c r="K1236" s="14"/>
      <c r="L1236" s="13"/>
      <c r="M1236" s="14"/>
      <c r="N1236" s="15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</row>
    <row r="1237">
      <c r="A1237" s="9">
        <v>1235.0</v>
      </c>
      <c r="B1237" s="10">
        <v>44010.0</v>
      </c>
      <c r="C1237" s="9" t="s">
        <v>1635</v>
      </c>
      <c r="D1237" s="11" t="s">
        <v>2254</v>
      </c>
      <c r="E1237" s="17">
        <f>+447392421911</f>
        <v>447392421911</v>
      </c>
      <c r="F1237" s="12" t="s">
        <v>2255</v>
      </c>
      <c r="G1237" s="9" t="s">
        <v>1987</v>
      </c>
      <c r="H1237" s="9" t="s">
        <v>13</v>
      </c>
      <c r="I1237" s="13"/>
      <c r="J1237" s="13"/>
      <c r="K1237" s="14"/>
      <c r="L1237" s="13"/>
      <c r="M1237" s="14"/>
      <c r="N1237" s="15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</row>
    <row r="1238">
      <c r="A1238" s="9">
        <v>1236.0</v>
      </c>
      <c r="B1238" s="10">
        <v>44010.0</v>
      </c>
      <c r="C1238" s="9" t="s">
        <v>2127</v>
      </c>
      <c r="D1238" s="11" t="s">
        <v>2256</v>
      </c>
      <c r="E1238" s="17">
        <f>+971529400412</f>
        <v>971529400412</v>
      </c>
      <c r="F1238" s="12" t="s">
        <v>2257</v>
      </c>
      <c r="G1238" s="9" t="s">
        <v>35</v>
      </c>
      <c r="H1238" s="9" t="s">
        <v>206</v>
      </c>
      <c r="I1238" s="13"/>
      <c r="J1238" s="13"/>
      <c r="K1238" s="14"/>
      <c r="L1238" s="13"/>
      <c r="M1238" s="14"/>
      <c r="N1238" s="15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</row>
    <row r="1239">
      <c r="A1239" s="9">
        <v>1237.0</v>
      </c>
      <c r="B1239" s="10">
        <v>44009.0</v>
      </c>
      <c r="C1239" s="9" t="s">
        <v>2258</v>
      </c>
      <c r="D1239" s="11" t="s">
        <v>2259</v>
      </c>
      <c r="E1239" s="17">
        <f>+971543395222</f>
        <v>971543395222</v>
      </c>
      <c r="F1239" s="12" t="s">
        <v>2260</v>
      </c>
      <c r="G1239" s="9" t="s">
        <v>176</v>
      </c>
      <c r="H1239" s="9" t="s">
        <v>81</v>
      </c>
      <c r="I1239" s="13"/>
      <c r="J1239" s="13"/>
      <c r="K1239" s="14"/>
      <c r="L1239" s="13"/>
      <c r="M1239" s="14"/>
      <c r="N1239" s="15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</row>
    <row r="1240">
      <c r="A1240" s="9">
        <v>1238.0</v>
      </c>
      <c r="B1240" s="10">
        <v>44009.0</v>
      </c>
      <c r="C1240" s="9" t="s">
        <v>2258</v>
      </c>
      <c r="D1240" s="11" t="s">
        <v>2261</v>
      </c>
      <c r="E1240" s="9">
        <v>6.5671953E7</v>
      </c>
      <c r="F1240" s="12" t="s">
        <v>2262</v>
      </c>
      <c r="G1240" s="9" t="s">
        <v>80</v>
      </c>
      <c r="H1240" s="9" t="s">
        <v>17</v>
      </c>
      <c r="I1240" s="13"/>
      <c r="J1240" s="13"/>
      <c r="K1240" s="14"/>
      <c r="L1240" s="13"/>
      <c r="M1240" s="14"/>
      <c r="N1240" s="15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</row>
    <row r="1241">
      <c r="A1241" s="9">
        <v>1239.0</v>
      </c>
      <c r="B1241" s="10">
        <v>44009.0</v>
      </c>
      <c r="C1241" s="9" t="s">
        <v>2258</v>
      </c>
      <c r="D1241" s="11" t="s">
        <v>2263</v>
      </c>
      <c r="E1241" s="17">
        <f>+919846668888</f>
        <v>919846668888</v>
      </c>
      <c r="F1241" s="12" t="s">
        <v>2264</v>
      </c>
      <c r="G1241" s="9" t="s">
        <v>80</v>
      </c>
      <c r="H1241" s="9" t="s">
        <v>41</v>
      </c>
      <c r="I1241" s="13"/>
      <c r="J1241" s="13"/>
      <c r="K1241" s="14"/>
      <c r="L1241" s="13"/>
      <c r="M1241" s="14"/>
      <c r="N1241" s="15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</row>
    <row r="1242">
      <c r="A1242" s="9">
        <v>1240.0</v>
      </c>
      <c r="B1242" s="10">
        <v>44009.0</v>
      </c>
      <c r="C1242" s="9" t="s">
        <v>2258</v>
      </c>
      <c r="D1242" s="11" t="s">
        <v>2265</v>
      </c>
      <c r="E1242" s="17">
        <f>+971555016662</f>
        <v>971555016662</v>
      </c>
      <c r="F1242" s="12" t="s">
        <v>2266</v>
      </c>
      <c r="G1242" s="9" t="s">
        <v>80</v>
      </c>
      <c r="H1242" s="9" t="s">
        <v>81</v>
      </c>
      <c r="I1242" s="13"/>
      <c r="J1242" s="13"/>
      <c r="K1242" s="14"/>
      <c r="L1242" s="13"/>
      <c r="M1242" s="14"/>
      <c r="N1242" s="15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</row>
    <row r="1243">
      <c r="A1243" s="9">
        <v>1241.0</v>
      </c>
      <c r="B1243" s="10">
        <v>44009.0</v>
      </c>
      <c r="C1243" s="9" t="s">
        <v>47</v>
      </c>
      <c r="D1243" s="11" t="s">
        <v>2267</v>
      </c>
      <c r="E1243" s="9">
        <v>9.710551500786E12</v>
      </c>
      <c r="F1243" s="12" t="s">
        <v>2268</v>
      </c>
      <c r="G1243" s="9" t="s">
        <v>134</v>
      </c>
      <c r="H1243" s="9" t="s">
        <v>206</v>
      </c>
      <c r="I1243" s="13"/>
      <c r="J1243" s="13"/>
      <c r="K1243" s="14"/>
      <c r="L1243" s="13"/>
      <c r="M1243" s="14"/>
      <c r="N1243" s="15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</row>
    <row r="1244">
      <c r="A1244" s="9">
        <v>1242.0</v>
      </c>
      <c r="B1244" s="10">
        <v>44009.0</v>
      </c>
      <c r="C1244" s="9" t="s">
        <v>47</v>
      </c>
      <c r="D1244" s="11" t="s">
        <v>1732</v>
      </c>
      <c r="E1244" s="9">
        <v>9.7154793327E11</v>
      </c>
      <c r="F1244" s="12" t="s">
        <v>2269</v>
      </c>
      <c r="G1244" s="9" t="s">
        <v>35</v>
      </c>
      <c r="H1244" s="9" t="s">
        <v>206</v>
      </c>
      <c r="I1244" s="13"/>
      <c r="J1244" s="13"/>
      <c r="K1244" s="14"/>
      <c r="L1244" s="13"/>
      <c r="M1244" s="14"/>
      <c r="N1244" s="15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</row>
    <row r="1245">
      <c r="A1245" s="9">
        <v>1243.0</v>
      </c>
      <c r="B1245" s="10">
        <v>44009.0</v>
      </c>
      <c r="C1245" s="9" t="s">
        <v>47</v>
      </c>
      <c r="D1245" s="11" t="s">
        <v>599</v>
      </c>
      <c r="E1245" s="9">
        <v>9.71555444786E11</v>
      </c>
      <c r="F1245" s="12" t="s">
        <v>2270</v>
      </c>
      <c r="G1245" s="9" t="s">
        <v>300</v>
      </c>
      <c r="H1245" s="9" t="s">
        <v>17</v>
      </c>
      <c r="I1245" s="13"/>
      <c r="J1245" s="13"/>
      <c r="K1245" s="14"/>
      <c r="L1245" s="13"/>
      <c r="M1245" s="14"/>
      <c r="N1245" s="15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</row>
    <row r="1246">
      <c r="A1246" s="9">
        <v>1244.0</v>
      </c>
      <c r="B1246" s="10">
        <v>44009.0</v>
      </c>
      <c r="C1246" s="9" t="s">
        <v>47</v>
      </c>
      <c r="D1246" s="11" t="s">
        <v>2271</v>
      </c>
      <c r="E1246" s="9">
        <v>9.710552447442E12</v>
      </c>
      <c r="F1246" s="12" t="s">
        <v>2272</v>
      </c>
      <c r="G1246" s="9" t="s">
        <v>80</v>
      </c>
      <c r="H1246" s="9" t="s">
        <v>81</v>
      </c>
      <c r="I1246" s="13"/>
      <c r="J1246" s="13"/>
      <c r="K1246" s="14"/>
      <c r="L1246" s="13"/>
      <c r="M1246" s="14"/>
      <c r="N1246" s="15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</row>
    <row r="1247">
      <c r="A1247" s="9">
        <v>1245.0</v>
      </c>
      <c r="B1247" s="10">
        <v>44009.0</v>
      </c>
      <c r="C1247" s="9" t="s">
        <v>47</v>
      </c>
      <c r="D1247" s="11" t="s">
        <v>2273</v>
      </c>
      <c r="E1247" s="9">
        <v>9.710545252522E12</v>
      </c>
      <c r="F1247" s="12" t="s">
        <v>2274</v>
      </c>
      <c r="G1247" s="9" t="s">
        <v>134</v>
      </c>
      <c r="H1247" s="9" t="s">
        <v>17</v>
      </c>
      <c r="I1247" s="13"/>
      <c r="J1247" s="13"/>
      <c r="K1247" s="14"/>
      <c r="L1247" s="13"/>
      <c r="M1247" s="14"/>
      <c r="N1247" s="15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</row>
    <row r="1248">
      <c r="A1248" s="9">
        <v>1246.0</v>
      </c>
      <c r="B1248" s="10">
        <v>44009.0</v>
      </c>
      <c r="C1248" s="9" t="s">
        <v>47</v>
      </c>
      <c r="D1248" s="11" t="s">
        <v>2275</v>
      </c>
      <c r="E1248" s="9">
        <v>9.71568804124E11</v>
      </c>
      <c r="F1248" s="12" t="s">
        <v>2276</v>
      </c>
      <c r="G1248" s="9" t="s">
        <v>80</v>
      </c>
      <c r="H1248" s="9" t="s">
        <v>41</v>
      </c>
      <c r="I1248" s="13"/>
      <c r="J1248" s="13"/>
      <c r="K1248" s="14"/>
      <c r="L1248" s="13"/>
      <c r="M1248" s="14"/>
      <c r="N1248" s="15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</row>
    <row r="1249">
      <c r="A1249" s="9">
        <v>1247.0</v>
      </c>
      <c r="B1249" s="10">
        <v>44009.0</v>
      </c>
      <c r="C1249" s="9" t="s">
        <v>47</v>
      </c>
      <c r="D1249" s="11" t="s">
        <v>655</v>
      </c>
      <c r="E1249" s="9">
        <v>9.710507998994E12</v>
      </c>
      <c r="F1249" s="12" t="s">
        <v>2277</v>
      </c>
      <c r="G1249" s="9" t="s">
        <v>80</v>
      </c>
      <c r="H1249" s="9" t="s">
        <v>41</v>
      </c>
      <c r="I1249" s="13"/>
      <c r="J1249" s="13"/>
      <c r="K1249" s="14"/>
      <c r="L1249" s="13"/>
      <c r="M1249" s="14"/>
      <c r="N1249" s="15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</row>
    <row r="1250">
      <c r="A1250" s="9">
        <v>1248.0</v>
      </c>
      <c r="B1250" s="10">
        <v>44009.0</v>
      </c>
      <c r="C1250" s="9" t="s">
        <v>47</v>
      </c>
      <c r="D1250" s="11" t="s">
        <v>2278</v>
      </c>
      <c r="E1250" s="9">
        <v>9.71554324325E11</v>
      </c>
      <c r="F1250" s="12" t="s">
        <v>2279</v>
      </c>
      <c r="G1250" s="9" t="s">
        <v>35</v>
      </c>
      <c r="H1250" s="9" t="s">
        <v>41</v>
      </c>
      <c r="I1250" s="13"/>
      <c r="J1250" s="13"/>
      <c r="K1250" s="14"/>
      <c r="L1250" s="13"/>
      <c r="M1250" s="14"/>
      <c r="N1250" s="15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</row>
    <row r="1251">
      <c r="A1251" s="9">
        <v>1249.0</v>
      </c>
      <c r="B1251" s="10">
        <v>44009.0</v>
      </c>
      <c r="C1251" s="9" t="s">
        <v>2258</v>
      </c>
      <c r="D1251" s="11" t="s">
        <v>2280</v>
      </c>
      <c r="E1251" s="17">
        <f>+9710521979998</f>
        <v>9710521979998</v>
      </c>
      <c r="F1251" s="12" t="s">
        <v>2281</v>
      </c>
      <c r="G1251" s="9" t="s">
        <v>176</v>
      </c>
      <c r="H1251" s="9" t="s">
        <v>21</v>
      </c>
      <c r="I1251" s="13"/>
      <c r="J1251" s="13"/>
      <c r="K1251" s="14"/>
      <c r="L1251" s="13"/>
      <c r="M1251" s="14"/>
      <c r="N1251" s="15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</row>
    <row r="1252">
      <c r="A1252" s="9">
        <v>1250.0</v>
      </c>
      <c r="B1252" s="10">
        <v>44009.0</v>
      </c>
      <c r="C1252" s="9" t="s">
        <v>2235</v>
      </c>
      <c r="D1252" s="11" t="s">
        <v>2282</v>
      </c>
      <c r="E1252" s="17">
        <f>+9710527496934</f>
        <v>9710527496934</v>
      </c>
      <c r="F1252" s="12" t="s">
        <v>2283</v>
      </c>
      <c r="G1252" s="9" t="s">
        <v>627</v>
      </c>
      <c r="H1252" s="9" t="s">
        <v>17</v>
      </c>
      <c r="I1252" s="13"/>
      <c r="J1252" s="13"/>
      <c r="K1252" s="14"/>
      <c r="L1252" s="13"/>
      <c r="M1252" s="14"/>
      <c r="N1252" s="15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</row>
    <row r="1253">
      <c r="A1253" s="9">
        <v>1251.0</v>
      </c>
      <c r="B1253" s="10">
        <v>44009.0</v>
      </c>
      <c r="C1253" s="9" t="s">
        <v>401</v>
      </c>
      <c r="D1253" s="11" t="s">
        <v>2284</v>
      </c>
      <c r="E1253" s="17">
        <f>+966503601570</f>
        <v>966503601570</v>
      </c>
      <c r="F1253" s="12" t="s">
        <v>2285</v>
      </c>
      <c r="G1253" s="9" t="s">
        <v>131</v>
      </c>
      <c r="H1253" s="9" t="s">
        <v>13</v>
      </c>
      <c r="I1253" s="13"/>
      <c r="J1253" s="13"/>
      <c r="K1253" s="14"/>
      <c r="L1253" s="13"/>
      <c r="M1253" s="14"/>
      <c r="N1253" s="15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</row>
    <row r="1254">
      <c r="A1254" s="9">
        <v>1252.0</v>
      </c>
      <c r="B1254" s="10">
        <v>44009.0</v>
      </c>
      <c r="C1254" s="9" t="s">
        <v>401</v>
      </c>
      <c r="D1254" s="11" t="s">
        <v>2286</v>
      </c>
      <c r="E1254" s="17">
        <f>+966504412078</f>
        <v>966504412078</v>
      </c>
      <c r="F1254" s="12" t="s">
        <v>2287</v>
      </c>
      <c r="G1254" s="9" t="s">
        <v>131</v>
      </c>
      <c r="H1254" s="9" t="s">
        <v>13</v>
      </c>
      <c r="I1254" s="13"/>
      <c r="J1254" s="13"/>
      <c r="K1254" s="14"/>
      <c r="L1254" s="13"/>
      <c r="M1254" s="14"/>
      <c r="N1254" s="15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</row>
    <row r="1255">
      <c r="A1255" s="9">
        <v>1253.0</v>
      </c>
      <c r="B1255" s="10">
        <v>44009.0</v>
      </c>
      <c r="C1255" s="9" t="s">
        <v>2127</v>
      </c>
      <c r="D1255" s="11" t="s">
        <v>2288</v>
      </c>
      <c r="E1255" s="17">
        <f>+971568001227</f>
        <v>971568001227</v>
      </c>
      <c r="F1255" s="12" t="s">
        <v>2289</v>
      </c>
      <c r="G1255" s="9" t="s">
        <v>176</v>
      </c>
      <c r="H1255" s="9" t="s">
        <v>21</v>
      </c>
      <c r="I1255" s="13"/>
      <c r="J1255" s="13"/>
      <c r="K1255" s="14"/>
      <c r="L1255" s="13"/>
      <c r="M1255" s="14"/>
      <c r="N1255" s="15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</row>
    <row r="1256">
      <c r="A1256" s="9">
        <v>1254.0</v>
      </c>
      <c r="B1256" s="10">
        <v>44009.0</v>
      </c>
      <c r="C1256" s="9" t="s">
        <v>2127</v>
      </c>
      <c r="D1256" s="11" t="s">
        <v>2290</v>
      </c>
      <c r="E1256" s="17">
        <f>+971503865786</f>
        <v>971503865786</v>
      </c>
      <c r="F1256" s="12" t="s">
        <v>2291</v>
      </c>
      <c r="G1256" s="9" t="s">
        <v>35</v>
      </c>
      <c r="H1256" s="9" t="s">
        <v>206</v>
      </c>
      <c r="I1256" s="13"/>
      <c r="J1256" s="13"/>
      <c r="K1256" s="14"/>
      <c r="L1256" s="13"/>
      <c r="M1256" s="14"/>
      <c r="N1256" s="15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</row>
    <row r="1257">
      <c r="A1257" s="9">
        <v>1255.0</v>
      </c>
      <c r="B1257" s="10">
        <v>44009.0</v>
      </c>
      <c r="C1257" s="9" t="s">
        <v>1635</v>
      </c>
      <c r="D1257" s="11" t="s">
        <v>2292</v>
      </c>
      <c r="E1257" s="17">
        <f>+85261126711</f>
        <v>85261126711</v>
      </c>
      <c r="F1257" s="12" t="s">
        <v>2293</v>
      </c>
      <c r="G1257" s="9" t="s">
        <v>2126</v>
      </c>
      <c r="H1257" s="9" t="s">
        <v>17</v>
      </c>
      <c r="I1257" s="13"/>
      <c r="J1257" s="13"/>
      <c r="K1257" s="14"/>
      <c r="L1257" s="13"/>
      <c r="M1257" s="14"/>
      <c r="N1257" s="15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</row>
    <row r="1258">
      <c r="A1258" s="9">
        <v>1256.0</v>
      </c>
      <c r="B1258" s="10">
        <v>44008.0</v>
      </c>
      <c r="C1258" s="9" t="s">
        <v>47</v>
      </c>
      <c r="D1258" s="11" t="s">
        <v>2294</v>
      </c>
      <c r="E1258" s="9">
        <v>9.71054466888E12</v>
      </c>
      <c r="F1258" s="12" t="s">
        <v>2295</v>
      </c>
      <c r="G1258" s="9" t="s">
        <v>627</v>
      </c>
      <c r="H1258" s="9" t="s">
        <v>17</v>
      </c>
      <c r="I1258" s="13"/>
      <c r="J1258" s="13"/>
      <c r="K1258" s="14"/>
      <c r="L1258" s="13"/>
      <c r="M1258" s="14"/>
      <c r="N1258" s="15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</row>
    <row r="1259">
      <c r="A1259" s="9">
        <v>1257.0</v>
      </c>
      <c r="B1259" s="10">
        <v>44008.0</v>
      </c>
      <c r="C1259" s="9" t="s">
        <v>47</v>
      </c>
      <c r="D1259" s="11" t="s">
        <v>2296</v>
      </c>
      <c r="E1259" s="9">
        <v>9.710506353545E12</v>
      </c>
      <c r="F1259" s="12" t="s">
        <v>2297</v>
      </c>
      <c r="G1259" s="9" t="s">
        <v>300</v>
      </c>
      <c r="H1259" s="9" t="s">
        <v>17</v>
      </c>
      <c r="I1259" s="13"/>
      <c r="J1259" s="13"/>
      <c r="K1259" s="14"/>
      <c r="L1259" s="13"/>
      <c r="M1259" s="14"/>
      <c r="N1259" s="15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</row>
    <row r="1260">
      <c r="A1260" s="9">
        <v>1258.0</v>
      </c>
      <c r="B1260" s="10">
        <v>44008.0</v>
      </c>
      <c r="C1260" s="9" t="s">
        <v>47</v>
      </c>
      <c r="D1260" s="11" t="s">
        <v>1151</v>
      </c>
      <c r="E1260" s="9">
        <v>9.71508686113E11</v>
      </c>
      <c r="F1260" s="12" t="s">
        <v>2298</v>
      </c>
      <c r="G1260" s="9" t="s">
        <v>176</v>
      </c>
      <c r="H1260" s="9" t="s">
        <v>41</v>
      </c>
      <c r="I1260" s="13"/>
      <c r="J1260" s="13"/>
      <c r="K1260" s="14"/>
      <c r="L1260" s="13"/>
      <c r="M1260" s="14"/>
      <c r="N1260" s="15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</row>
    <row r="1261">
      <c r="A1261" s="9">
        <v>1259.0</v>
      </c>
      <c r="B1261" s="10">
        <v>44008.0</v>
      </c>
      <c r="C1261" s="9" t="s">
        <v>47</v>
      </c>
      <c r="D1261" s="11" t="s">
        <v>2299</v>
      </c>
      <c r="E1261" s="9">
        <v>9.710561141884E12</v>
      </c>
      <c r="F1261" s="12" t="s">
        <v>2300</v>
      </c>
      <c r="G1261" s="9" t="s">
        <v>432</v>
      </c>
      <c r="H1261" s="9" t="s">
        <v>260</v>
      </c>
      <c r="I1261" s="13"/>
      <c r="J1261" s="13"/>
      <c r="K1261" s="14"/>
      <c r="L1261" s="13"/>
      <c r="M1261" s="14"/>
      <c r="N1261" s="15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</row>
    <row r="1262">
      <c r="A1262" s="9">
        <v>1260.0</v>
      </c>
      <c r="B1262" s="10">
        <v>44008.0</v>
      </c>
      <c r="C1262" s="9" t="s">
        <v>47</v>
      </c>
      <c r="D1262" s="11" t="s">
        <v>362</v>
      </c>
      <c r="E1262" s="9">
        <v>9.715577477E11</v>
      </c>
      <c r="F1262" s="12" t="s">
        <v>2301</v>
      </c>
      <c r="G1262" s="9" t="s">
        <v>627</v>
      </c>
      <c r="H1262" s="9" t="s">
        <v>17</v>
      </c>
      <c r="I1262" s="13"/>
      <c r="J1262" s="13"/>
      <c r="K1262" s="14"/>
      <c r="L1262" s="13"/>
      <c r="M1262" s="14"/>
      <c r="N1262" s="15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</row>
    <row r="1263">
      <c r="A1263" s="9">
        <v>1261.0</v>
      </c>
      <c r="B1263" s="10">
        <v>44008.0</v>
      </c>
      <c r="C1263" s="9" t="s">
        <v>2258</v>
      </c>
      <c r="D1263" s="11" t="s">
        <v>2302</v>
      </c>
      <c r="E1263" s="17">
        <f>+971563824340</f>
        <v>971563824340</v>
      </c>
      <c r="F1263" s="12" t="s">
        <v>2303</v>
      </c>
      <c r="G1263" s="9" t="s">
        <v>80</v>
      </c>
      <c r="H1263" s="9" t="s">
        <v>81</v>
      </c>
      <c r="I1263" s="13"/>
      <c r="J1263" s="13"/>
      <c r="K1263" s="14"/>
      <c r="L1263" s="13"/>
      <c r="M1263" s="14"/>
      <c r="N1263" s="15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</row>
    <row r="1264">
      <c r="A1264" s="9">
        <v>1262.0</v>
      </c>
      <c r="B1264" s="10">
        <v>44008.0</v>
      </c>
      <c r="C1264" s="9" t="s">
        <v>401</v>
      </c>
      <c r="D1264" s="16" t="s">
        <v>2304</v>
      </c>
      <c r="E1264" s="17">
        <f>+966500421908</f>
        <v>966500421908</v>
      </c>
      <c r="F1264" s="12" t="s">
        <v>2305</v>
      </c>
      <c r="G1264" s="9" t="s">
        <v>80</v>
      </c>
      <c r="H1264" s="9" t="s">
        <v>41</v>
      </c>
      <c r="I1264" s="13"/>
      <c r="J1264" s="13"/>
      <c r="K1264" s="14"/>
      <c r="L1264" s="13"/>
      <c r="M1264" s="22"/>
      <c r="N1264" s="15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</row>
    <row r="1265">
      <c r="A1265" s="9">
        <v>1263.0</v>
      </c>
      <c r="B1265" s="10">
        <v>44008.0</v>
      </c>
      <c r="C1265" s="9" t="s">
        <v>2306</v>
      </c>
      <c r="D1265" s="11" t="s">
        <v>2307</v>
      </c>
      <c r="E1265" s="17">
        <f>+971-0-563-389099</f>
        <v>-388691</v>
      </c>
      <c r="F1265" s="12" t="s">
        <v>2308</v>
      </c>
      <c r="G1265" s="9" t="s">
        <v>1039</v>
      </c>
      <c r="H1265" s="9" t="s">
        <v>13</v>
      </c>
      <c r="I1265" s="13"/>
      <c r="J1265" s="13"/>
      <c r="K1265" s="14"/>
      <c r="L1265" s="13"/>
      <c r="M1265" s="14"/>
      <c r="N1265" s="15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</row>
    <row r="1266">
      <c r="A1266" s="9">
        <v>1264.0</v>
      </c>
      <c r="B1266" s="10">
        <v>44008.0</v>
      </c>
      <c r="C1266" s="9" t="s">
        <v>2235</v>
      </c>
      <c r="D1266" s="11" t="s">
        <v>2309</v>
      </c>
      <c r="E1266" s="17">
        <f>+971505051926</f>
        <v>971505051926</v>
      </c>
      <c r="F1266" s="12" t="s">
        <v>2310</v>
      </c>
      <c r="G1266" s="9" t="s">
        <v>80</v>
      </c>
      <c r="H1266" s="9" t="s">
        <v>81</v>
      </c>
      <c r="I1266" s="13"/>
      <c r="J1266" s="13"/>
      <c r="K1266" s="14"/>
      <c r="L1266" s="13"/>
      <c r="M1266" s="14"/>
      <c r="N1266" s="15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</row>
    <row r="1267">
      <c r="A1267" s="9">
        <v>1265.0</v>
      </c>
      <c r="B1267" s="10">
        <v>44008.0</v>
      </c>
      <c r="C1267" s="9" t="s">
        <v>401</v>
      </c>
      <c r="D1267" s="11" t="s">
        <v>2311</v>
      </c>
      <c r="E1267" s="9">
        <v>5.65577663E8</v>
      </c>
      <c r="F1267" s="12" t="s">
        <v>2312</v>
      </c>
      <c r="G1267" s="9" t="s">
        <v>35</v>
      </c>
      <c r="H1267" s="9" t="s">
        <v>41</v>
      </c>
      <c r="I1267" s="13"/>
      <c r="J1267" s="13"/>
      <c r="K1267" s="14"/>
      <c r="L1267" s="13"/>
      <c r="M1267" s="14"/>
      <c r="N1267" s="15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</row>
    <row r="1268">
      <c r="A1268" s="9">
        <v>1266.0</v>
      </c>
      <c r="B1268" s="18">
        <v>44008.0</v>
      </c>
      <c r="C1268" s="19" t="s">
        <v>2127</v>
      </c>
      <c r="D1268" s="11" t="s">
        <v>2313</v>
      </c>
      <c r="E1268" s="24">
        <f>+971506438943</f>
        <v>971506438943</v>
      </c>
      <c r="F1268" s="12" t="s">
        <v>2314</v>
      </c>
      <c r="G1268" s="19" t="s">
        <v>300</v>
      </c>
      <c r="H1268" s="19" t="s">
        <v>17</v>
      </c>
      <c r="I1268" s="13"/>
      <c r="J1268" s="13"/>
      <c r="K1268" s="20"/>
      <c r="L1268" s="13"/>
      <c r="M1268" s="20"/>
      <c r="N1268" s="21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</row>
    <row r="1269">
      <c r="A1269" s="9">
        <v>1267.0</v>
      </c>
      <c r="B1269" s="10">
        <v>44008.0</v>
      </c>
      <c r="C1269" s="19" t="s">
        <v>2127</v>
      </c>
      <c r="D1269" s="11" t="s">
        <v>2315</v>
      </c>
      <c r="E1269" s="17">
        <f>+971563500588</f>
        <v>971563500588</v>
      </c>
      <c r="F1269" s="12" t="s">
        <v>2316</v>
      </c>
      <c r="G1269" s="9" t="s">
        <v>432</v>
      </c>
      <c r="H1269" s="9" t="s">
        <v>73</v>
      </c>
      <c r="I1269" s="13"/>
      <c r="J1269" s="13"/>
      <c r="K1269" s="14"/>
      <c r="L1269" s="13"/>
      <c r="M1269" s="14"/>
      <c r="N1269" s="15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</row>
    <row r="1270">
      <c r="A1270" s="9">
        <v>1268.0</v>
      </c>
      <c r="B1270" s="10">
        <v>44008.0</v>
      </c>
      <c r="C1270" s="9" t="s">
        <v>2127</v>
      </c>
      <c r="D1270" s="11" t="s">
        <v>2317</v>
      </c>
      <c r="E1270" s="9">
        <v>5.06222757E8</v>
      </c>
      <c r="F1270" s="12" t="s">
        <v>2318</v>
      </c>
      <c r="G1270" s="9" t="s">
        <v>35</v>
      </c>
      <c r="H1270" s="9" t="s">
        <v>206</v>
      </c>
      <c r="I1270" s="13"/>
      <c r="J1270" s="13"/>
      <c r="K1270" s="14"/>
      <c r="L1270" s="13"/>
      <c r="M1270" s="14"/>
      <c r="N1270" s="15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</row>
    <row r="1271">
      <c r="A1271" s="9">
        <v>1269.0</v>
      </c>
      <c r="B1271" s="10">
        <v>44007.0</v>
      </c>
      <c r="C1271" s="9" t="s">
        <v>2258</v>
      </c>
      <c r="D1271" s="11" t="s">
        <v>2319</v>
      </c>
      <c r="E1271" s="17">
        <f>+96103404603</f>
        <v>96103404603</v>
      </c>
      <c r="F1271" s="12" t="s">
        <v>2320</v>
      </c>
      <c r="G1271" s="9" t="s">
        <v>300</v>
      </c>
      <c r="H1271" s="9" t="s">
        <v>41</v>
      </c>
      <c r="I1271" s="13"/>
      <c r="J1271" s="13"/>
      <c r="K1271" s="14"/>
      <c r="L1271" s="13"/>
      <c r="M1271" s="14"/>
      <c r="N1271" s="15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</row>
    <row r="1272">
      <c r="A1272" s="9">
        <v>1270.0</v>
      </c>
      <c r="B1272" s="10">
        <v>44007.0</v>
      </c>
      <c r="C1272" s="9" t="s">
        <v>2321</v>
      </c>
      <c r="D1272" s="11" t="s">
        <v>2322</v>
      </c>
      <c r="E1272" s="17">
        <f>+971501578787</f>
        <v>971501578787</v>
      </c>
      <c r="F1272" s="12" t="s">
        <v>2323</v>
      </c>
      <c r="G1272" s="9" t="s">
        <v>627</v>
      </c>
      <c r="H1272" s="9" t="s">
        <v>654</v>
      </c>
      <c r="I1272" s="13"/>
      <c r="J1272" s="13"/>
      <c r="K1272" s="14"/>
      <c r="L1272" s="13"/>
      <c r="M1272" s="14"/>
      <c r="N1272" s="15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</row>
    <row r="1273">
      <c r="A1273" s="9">
        <v>1271.0</v>
      </c>
      <c r="B1273" s="10">
        <v>44007.0</v>
      </c>
      <c r="C1273" s="9" t="s">
        <v>2258</v>
      </c>
      <c r="D1273" s="11" t="s">
        <v>2324</v>
      </c>
      <c r="E1273" s="17">
        <f>+971506256634</f>
        <v>971506256634</v>
      </c>
      <c r="F1273" s="12" t="s">
        <v>2325</v>
      </c>
      <c r="G1273" s="9" t="s">
        <v>80</v>
      </c>
      <c r="H1273" s="9" t="s">
        <v>41</v>
      </c>
      <c r="I1273" s="13"/>
      <c r="J1273" s="13"/>
      <c r="K1273" s="14"/>
      <c r="L1273" s="13"/>
      <c r="M1273" s="14"/>
      <c r="N1273" s="15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</row>
    <row r="1274">
      <c r="A1274" s="9">
        <v>1272.0</v>
      </c>
      <c r="B1274" s="10">
        <v>44007.0</v>
      </c>
      <c r="C1274" s="9" t="s">
        <v>47</v>
      </c>
      <c r="D1274" s="11" t="s">
        <v>2326</v>
      </c>
      <c r="E1274" s="9">
        <v>9.710553381136E12</v>
      </c>
      <c r="F1274" s="12" t="s">
        <v>2327</v>
      </c>
      <c r="G1274" s="9" t="s">
        <v>25</v>
      </c>
      <c r="H1274" s="9" t="s">
        <v>41</v>
      </c>
      <c r="I1274" s="13"/>
      <c r="J1274" s="13"/>
      <c r="K1274" s="14"/>
      <c r="L1274" s="13"/>
      <c r="M1274" s="14"/>
      <c r="N1274" s="15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</row>
    <row r="1275">
      <c r="A1275" s="9">
        <v>1273.0</v>
      </c>
      <c r="B1275" s="10">
        <v>44007.0</v>
      </c>
      <c r="C1275" s="9" t="s">
        <v>1635</v>
      </c>
      <c r="D1275" s="11" t="s">
        <v>2328</v>
      </c>
      <c r="E1275" s="17">
        <f>+4407756168688</f>
        <v>4407756168688</v>
      </c>
      <c r="F1275" s="12" t="s">
        <v>2329</v>
      </c>
      <c r="G1275" s="9" t="s">
        <v>2126</v>
      </c>
      <c r="H1275" s="9" t="s">
        <v>41</v>
      </c>
      <c r="I1275" s="13"/>
      <c r="J1275" s="13"/>
      <c r="K1275" s="14"/>
      <c r="L1275" s="13"/>
      <c r="M1275" s="14"/>
      <c r="N1275" s="15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</row>
    <row r="1276">
      <c r="A1276" s="9">
        <v>1274.0</v>
      </c>
      <c r="B1276" s="10">
        <v>44007.0</v>
      </c>
      <c r="C1276" s="9" t="s">
        <v>47</v>
      </c>
      <c r="D1276" s="11" t="s">
        <v>2330</v>
      </c>
      <c r="E1276" s="9">
        <v>9.71056556057E12</v>
      </c>
      <c r="F1276" s="12" t="s">
        <v>2331</v>
      </c>
      <c r="G1276" s="9" t="s">
        <v>176</v>
      </c>
      <c r="H1276" s="9" t="s">
        <v>41</v>
      </c>
      <c r="I1276" s="13"/>
      <c r="J1276" s="13"/>
      <c r="K1276" s="14"/>
      <c r="L1276" s="13"/>
      <c r="M1276" s="14"/>
      <c r="N1276" s="15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</row>
    <row r="1277">
      <c r="A1277" s="9">
        <v>1275.0</v>
      </c>
      <c r="B1277" s="10">
        <v>44007.0</v>
      </c>
      <c r="C1277" s="9" t="s">
        <v>47</v>
      </c>
      <c r="D1277" s="11" t="s">
        <v>2332</v>
      </c>
      <c r="E1277" s="9">
        <v>9.71529604488E11</v>
      </c>
      <c r="F1277" s="12" t="s">
        <v>2333</v>
      </c>
      <c r="G1277" s="9" t="s">
        <v>80</v>
      </c>
      <c r="H1277" s="9" t="s">
        <v>81</v>
      </c>
      <c r="I1277" s="13"/>
      <c r="J1277" s="13"/>
      <c r="K1277" s="14"/>
      <c r="L1277" s="13"/>
      <c r="M1277" s="14"/>
      <c r="N1277" s="15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</row>
    <row r="1278">
      <c r="A1278" s="9">
        <v>1276.0</v>
      </c>
      <c r="B1278" s="10">
        <v>44007.0</v>
      </c>
      <c r="C1278" s="9" t="s">
        <v>2306</v>
      </c>
      <c r="D1278" s="11" t="s">
        <v>2334</v>
      </c>
      <c r="E1278" s="17">
        <f>+971586914868</f>
        <v>971586914868</v>
      </c>
      <c r="F1278" s="12" t="s">
        <v>2335</v>
      </c>
      <c r="G1278" s="9" t="s">
        <v>20</v>
      </c>
      <c r="H1278" s="9" t="s">
        <v>17</v>
      </c>
      <c r="I1278" s="13"/>
      <c r="J1278" s="13"/>
      <c r="K1278" s="14"/>
      <c r="L1278" s="13"/>
      <c r="M1278" s="14"/>
      <c r="N1278" s="15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</row>
    <row r="1279">
      <c r="A1279" s="9">
        <v>1277.0</v>
      </c>
      <c r="B1279" s="10">
        <v>44007.0</v>
      </c>
      <c r="C1279" s="9" t="s">
        <v>2258</v>
      </c>
      <c r="D1279" s="11" t="s">
        <v>2336</v>
      </c>
      <c r="E1279" s="17">
        <f>+971564459544</f>
        <v>971564459544</v>
      </c>
      <c r="F1279" s="12" t="s">
        <v>2337</v>
      </c>
      <c r="G1279" s="9" t="s">
        <v>176</v>
      </c>
      <c r="H1279" s="9" t="s">
        <v>21</v>
      </c>
      <c r="I1279" s="13"/>
      <c r="J1279" s="13"/>
      <c r="K1279" s="14"/>
      <c r="L1279" s="13"/>
      <c r="M1279" s="14"/>
      <c r="N1279" s="15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</row>
    <row r="1280">
      <c r="A1280" s="9">
        <v>1278.0</v>
      </c>
      <c r="B1280" s="10">
        <v>44006.0</v>
      </c>
      <c r="C1280" s="9" t="s">
        <v>2258</v>
      </c>
      <c r="D1280" s="11" t="s">
        <v>2338</v>
      </c>
      <c r="E1280" s="17">
        <f>+971507860075</f>
        <v>971507860075</v>
      </c>
      <c r="F1280" s="12" t="s">
        <v>2339</v>
      </c>
      <c r="G1280" s="9" t="s">
        <v>12</v>
      </c>
      <c r="H1280" s="9" t="s">
        <v>337</v>
      </c>
      <c r="I1280" s="13"/>
      <c r="J1280" s="13"/>
      <c r="K1280" s="14"/>
      <c r="L1280" s="13"/>
      <c r="M1280" s="14"/>
      <c r="N1280" s="15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</row>
    <row r="1281">
      <c r="A1281" s="9">
        <v>1279.0</v>
      </c>
      <c r="B1281" s="10">
        <v>44006.0</v>
      </c>
      <c r="C1281" s="9" t="s">
        <v>2321</v>
      </c>
      <c r="D1281" s="11" t="s">
        <v>50</v>
      </c>
      <c r="E1281" s="17">
        <f>+971554960095</f>
        <v>971554960095</v>
      </c>
      <c r="F1281" s="12" t="s">
        <v>2340</v>
      </c>
      <c r="G1281" s="9" t="s">
        <v>35</v>
      </c>
      <c r="H1281" s="9" t="s">
        <v>206</v>
      </c>
      <c r="I1281" s="13"/>
      <c r="J1281" s="13"/>
      <c r="K1281" s="14"/>
      <c r="L1281" s="13"/>
      <c r="M1281" s="14"/>
      <c r="N1281" s="15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</row>
    <row r="1282">
      <c r="A1282" s="9">
        <v>1280.0</v>
      </c>
      <c r="B1282" s="10">
        <v>44006.0</v>
      </c>
      <c r="C1282" s="9" t="s">
        <v>2258</v>
      </c>
      <c r="D1282" s="11" t="s">
        <v>2341</v>
      </c>
      <c r="E1282" s="17">
        <f>+971564805410</f>
        <v>971564805410</v>
      </c>
      <c r="F1282" s="12" t="s">
        <v>2342</v>
      </c>
      <c r="G1282" s="9" t="s">
        <v>176</v>
      </c>
      <c r="H1282" s="9" t="s">
        <v>21</v>
      </c>
      <c r="I1282" s="13"/>
      <c r="J1282" s="13"/>
      <c r="K1282" s="14"/>
      <c r="L1282" s="13"/>
      <c r="M1282" s="14"/>
      <c r="N1282" s="15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</row>
    <row r="1283">
      <c r="A1283" s="9">
        <v>1281.0</v>
      </c>
      <c r="B1283" s="10">
        <v>44006.0</v>
      </c>
      <c r="C1283" s="9" t="s">
        <v>47</v>
      </c>
      <c r="D1283" s="11" t="s">
        <v>2343</v>
      </c>
      <c r="E1283" s="9">
        <v>9.710557233763E12</v>
      </c>
      <c r="F1283" s="12" t="s">
        <v>2344</v>
      </c>
      <c r="G1283" s="9" t="s">
        <v>35</v>
      </c>
      <c r="H1283" s="9" t="s">
        <v>206</v>
      </c>
      <c r="I1283" s="13"/>
      <c r="J1283" s="13"/>
      <c r="K1283" s="14"/>
      <c r="L1283" s="13"/>
      <c r="M1283" s="14"/>
      <c r="N1283" s="15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</row>
    <row r="1284">
      <c r="A1284" s="9">
        <v>1282.0</v>
      </c>
      <c r="B1284" s="10">
        <v>44006.0</v>
      </c>
      <c r="C1284" s="9" t="s">
        <v>2258</v>
      </c>
      <c r="D1284" s="11" t="s">
        <v>2345</v>
      </c>
      <c r="E1284" s="17">
        <f>+971556177098</f>
        <v>971556177098</v>
      </c>
      <c r="F1284" s="12" t="s">
        <v>2346</v>
      </c>
      <c r="G1284" s="9" t="s">
        <v>627</v>
      </c>
      <c r="H1284" s="9" t="s">
        <v>17</v>
      </c>
      <c r="I1284" s="13"/>
      <c r="J1284" s="13"/>
      <c r="K1284" s="14"/>
      <c r="L1284" s="13"/>
      <c r="M1284" s="14"/>
      <c r="N1284" s="15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</row>
    <row r="1285">
      <c r="A1285" s="9">
        <v>1283.0</v>
      </c>
      <c r="B1285" s="10">
        <v>44006.0</v>
      </c>
      <c r="C1285" s="9" t="s">
        <v>2347</v>
      </c>
      <c r="D1285" s="11" t="s">
        <v>2348</v>
      </c>
      <c r="E1285" s="9" t="s">
        <v>410</v>
      </c>
      <c r="F1285" s="9" t="s">
        <v>410</v>
      </c>
      <c r="G1285" s="9" t="s">
        <v>35</v>
      </c>
      <c r="H1285" s="9" t="s">
        <v>206</v>
      </c>
      <c r="I1285" s="13"/>
      <c r="J1285" s="13"/>
      <c r="K1285" s="14"/>
      <c r="L1285" s="13"/>
      <c r="M1285" s="14"/>
      <c r="N1285" s="15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</row>
    <row r="1286">
      <c r="A1286" s="9">
        <v>1284.0</v>
      </c>
      <c r="B1286" s="10">
        <v>44006.0</v>
      </c>
      <c r="C1286" s="9" t="s">
        <v>2321</v>
      </c>
      <c r="D1286" s="11" t="s">
        <v>2349</v>
      </c>
      <c r="E1286" s="17">
        <f>+971505585141</f>
        <v>971505585141</v>
      </c>
      <c r="F1286" s="12" t="s">
        <v>2350</v>
      </c>
      <c r="G1286" s="9" t="s">
        <v>1221</v>
      </c>
      <c r="H1286" s="9" t="s">
        <v>17</v>
      </c>
      <c r="I1286" s="13"/>
      <c r="J1286" s="13"/>
      <c r="K1286" s="14"/>
      <c r="L1286" s="13"/>
      <c r="M1286" s="14"/>
      <c r="N1286" s="15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</row>
    <row r="1287">
      <c r="A1287" s="9">
        <v>1285.0</v>
      </c>
      <c r="B1287" s="10">
        <v>44006.0</v>
      </c>
      <c r="C1287" s="9" t="s">
        <v>401</v>
      </c>
      <c r="D1287" s="11" t="s">
        <v>2351</v>
      </c>
      <c r="E1287" s="17">
        <f>+966505914783</f>
        <v>966505914783</v>
      </c>
      <c r="F1287" s="12" t="s">
        <v>2352</v>
      </c>
      <c r="G1287" s="9" t="s">
        <v>40</v>
      </c>
      <c r="H1287" s="9" t="s">
        <v>41</v>
      </c>
      <c r="I1287" s="13"/>
      <c r="J1287" s="13"/>
      <c r="K1287" s="14"/>
      <c r="L1287" s="13"/>
      <c r="M1287" s="14"/>
      <c r="N1287" s="15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</row>
    <row r="1288">
      <c r="A1288" s="9">
        <v>1286.0</v>
      </c>
      <c r="B1288" s="10">
        <v>44006.0</v>
      </c>
      <c r="C1288" s="9" t="s">
        <v>1635</v>
      </c>
      <c r="D1288" s="11" t="s">
        <v>2353</v>
      </c>
      <c r="E1288" s="17">
        <f>+18177367214</f>
        <v>18177367214</v>
      </c>
      <c r="F1288" s="12" t="s">
        <v>2354</v>
      </c>
      <c r="G1288" s="9" t="s">
        <v>12</v>
      </c>
      <c r="H1288" s="9" t="s">
        <v>41</v>
      </c>
      <c r="I1288" s="13"/>
      <c r="J1288" s="13"/>
      <c r="K1288" s="14"/>
      <c r="L1288" s="13"/>
      <c r="M1288" s="14"/>
      <c r="N1288" s="15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</row>
    <row r="1289">
      <c r="A1289" s="9">
        <v>1287.0</v>
      </c>
      <c r="B1289" s="10">
        <v>44006.0</v>
      </c>
      <c r="C1289" s="9" t="s">
        <v>47</v>
      </c>
      <c r="D1289" s="11" t="s">
        <v>2246</v>
      </c>
      <c r="E1289" s="9">
        <v>9.7150383832E11</v>
      </c>
      <c r="F1289" s="12" t="s">
        <v>2355</v>
      </c>
      <c r="G1289" s="9" t="s">
        <v>627</v>
      </c>
      <c r="H1289" s="9" t="s">
        <v>17</v>
      </c>
      <c r="I1289" s="13"/>
      <c r="J1289" s="13"/>
      <c r="K1289" s="14"/>
      <c r="L1289" s="13"/>
      <c r="M1289" s="14"/>
      <c r="N1289" s="15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</row>
    <row r="1290">
      <c r="A1290" s="9">
        <v>1288.0</v>
      </c>
      <c r="B1290" s="10">
        <v>44006.0</v>
      </c>
      <c r="C1290" s="9" t="s">
        <v>2258</v>
      </c>
      <c r="D1290" s="11" t="s">
        <v>2356</v>
      </c>
      <c r="E1290" s="17">
        <f>+971507877455</f>
        <v>971507877455</v>
      </c>
      <c r="F1290" s="12" t="s">
        <v>2357</v>
      </c>
      <c r="G1290" s="9" t="s">
        <v>80</v>
      </c>
      <c r="H1290" s="9" t="s">
        <v>81</v>
      </c>
      <c r="I1290" s="13"/>
      <c r="J1290" s="13"/>
      <c r="K1290" s="14"/>
      <c r="L1290" s="13"/>
      <c r="M1290" s="14"/>
      <c r="N1290" s="15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</row>
    <row r="1291">
      <c r="A1291" s="9">
        <v>1289.0</v>
      </c>
      <c r="B1291" s="10">
        <v>44006.0</v>
      </c>
      <c r="C1291" s="9" t="s">
        <v>1635</v>
      </c>
      <c r="D1291" s="11" t="s">
        <v>2358</v>
      </c>
      <c r="E1291" s="17">
        <f>+6592398065</f>
        <v>6592398065</v>
      </c>
      <c r="F1291" s="12" t="s">
        <v>2359</v>
      </c>
      <c r="G1291" s="9" t="s">
        <v>2126</v>
      </c>
      <c r="H1291" s="9" t="s">
        <v>17</v>
      </c>
      <c r="I1291" s="13"/>
      <c r="J1291" s="13"/>
      <c r="K1291" s="14"/>
      <c r="L1291" s="13"/>
      <c r="M1291" s="14"/>
      <c r="N1291" s="15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</row>
    <row r="1292">
      <c r="A1292" s="9">
        <v>1290.0</v>
      </c>
      <c r="B1292" s="10">
        <v>44006.0</v>
      </c>
      <c r="C1292" s="9" t="s">
        <v>47</v>
      </c>
      <c r="D1292" s="11" t="s">
        <v>2360</v>
      </c>
      <c r="E1292" s="9">
        <v>9.23432594771E11</v>
      </c>
      <c r="F1292" s="12" t="s">
        <v>2361</v>
      </c>
      <c r="G1292" s="9" t="s">
        <v>432</v>
      </c>
      <c r="H1292" s="9" t="s">
        <v>41</v>
      </c>
      <c r="I1292" s="13"/>
      <c r="J1292" s="13"/>
      <c r="K1292" s="14"/>
      <c r="L1292" s="13"/>
      <c r="M1292" s="14"/>
      <c r="N1292" s="15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</row>
    <row r="1293">
      <c r="A1293" s="9">
        <v>1291.0</v>
      </c>
      <c r="B1293" s="10">
        <v>44006.0</v>
      </c>
      <c r="C1293" s="9" t="s">
        <v>47</v>
      </c>
      <c r="D1293" s="11" t="s">
        <v>2362</v>
      </c>
      <c r="E1293" s="9">
        <v>9.71529777557E11</v>
      </c>
      <c r="F1293" s="12" t="s">
        <v>2363</v>
      </c>
      <c r="G1293" s="9" t="s">
        <v>52</v>
      </c>
      <c r="H1293" s="9" t="s">
        <v>260</v>
      </c>
      <c r="I1293" s="13"/>
      <c r="J1293" s="13"/>
      <c r="K1293" s="14"/>
      <c r="L1293" s="13"/>
      <c r="M1293" s="14"/>
      <c r="N1293" s="15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</row>
    <row r="1294">
      <c r="A1294" s="9">
        <v>1292.0</v>
      </c>
      <c r="B1294" s="10">
        <v>44006.0</v>
      </c>
      <c r="C1294" s="9" t="s">
        <v>47</v>
      </c>
      <c r="D1294" s="11" t="s">
        <v>2364</v>
      </c>
      <c r="E1294" s="9">
        <v>9.71050625191E12</v>
      </c>
      <c r="F1294" s="12" t="s">
        <v>2365</v>
      </c>
      <c r="G1294" s="9" t="s">
        <v>25</v>
      </c>
      <c r="H1294" s="9" t="s">
        <v>17</v>
      </c>
      <c r="I1294" s="13"/>
      <c r="J1294" s="13"/>
      <c r="K1294" s="14"/>
      <c r="L1294" s="13"/>
      <c r="M1294" s="14"/>
      <c r="N1294" s="15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</row>
    <row r="1295">
      <c r="A1295" s="9">
        <v>1293.0</v>
      </c>
      <c r="B1295" s="10">
        <v>44006.0</v>
      </c>
      <c r="C1295" s="9" t="s">
        <v>47</v>
      </c>
      <c r="D1295" s="11" t="s">
        <v>2366</v>
      </c>
      <c r="E1295" s="9">
        <v>9.710508836562E12</v>
      </c>
      <c r="F1295" s="12" t="s">
        <v>2367</v>
      </c>
      <c r="G1295" s="9" t="s">
        <v>176</v>
      </c>
      <c r="H1295" s="9" t="s">
        <v>81</v>
      </c>
      <c r="I1295" s="13"/>
      <c r="J1295" s="13"/>
      <c r="K1295" s="14"/>
      <c r="L1295" s="13"/>
      <c r="M1295" s="14"/>
      <c r="N1295" s="15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</row>
    <row r="1296">
      <c r="A1296" s="9">
        <v>1294.0</v>
      </c>
      <c r="B1296" s="10">
        <v>44006.0</v>
      </c>
      <c r="C1296" s="9" t="s">
        <v>47</v>
      </c>
      <c r="D1296" s="11" t="s">
        <v>2368</v>
      </c>
      <c r="E1296" s="9">
        <v>9.710585692442E12</v>
      </c>
      <c r="F1296" s="12" t="s">
        <v>2369</v>
      </c>
      <c r="G1296" s="9" t="s">
        <v>176</v>
      </c>
      <c r="H1296" s="9" t="s">
        <v>21</v>
      </c>
      <c r="I1296" s="13"/>
      <c r="J1296" s="13"/>
      <c r="K1296" s="14"/>
      <c r="L1296" s="13"/>
      <c r="M1296" s="14"/>
      <c r="N1296" s="15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</row>
    <row r="1297">
      <c r="A1297" s="9">
        <v>1295.0</v>
      </c>
      <c r="B1297" s="10">
        <v>44006.0</v>
      </c>
      <c r="C1297" s="9" t="s">
        <v>47</v>
      </c>
      <c r="D1297" s="11" t="s">
        <v>2370</v>
      </c>
      <c r="E1297" s="9">
        <v>9.710555141557E12</v>
      </c>
      <c r="F1297" s="12" t="s">
        <v>2371</v>
      </c>
      <c r="G1297" s="9" t="s">
        <v>80</v>
      </c>
      <c r="H1297" s="9" t="s">
        <v>17</v>
      </c>
      <c r="I1297" s="13"/>
      <c r="J1297" s="13"/>
      <c r="K1297" s="14"/>
      <c r="L1297" s="13"/>
      <c r="M1297" s="14"/>
      <c r="N1297" s="15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</row>
    <row r="1298">
      <c r="A1298" s="9">
        <v>1296.0</v>
      </c>
      <c r="B1298" s="10">
        <v>44006.0</v>
      </c>
      <c r="C1298" s="9" t="s">
        <v>47</v>
      </c>
      <c r="D1298" s="11" t="s">
        <v>2372</v>
      </c>
      <c r="E1298" s="9">
        <v>9.710501901537E12</v>
      </c>
      <c r="F1298" s="12" t="s">
        <v>2373</v>
      </c>
      <c r="G1298" s="9" t="s">
        <v>20</v>
      </c>
      <c r="H1298" s="9" t="s">
        <v>81</v>
      </c>
      <c r="I1298" s="13"/>
      <c r="J1298" s="13"/>
      <c r="K1298" s="14"/>
      <c r="L1298" s="13"/>
      <c r="M1298" s="14"/>
      <c r="N1298" s="15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</row>
    <row r="1299">
      <c r="A1299" s="9">
        <v>1297.0</v>
      </c>
      <c r="B1299" s="10">
        <v>44006.0</v>
      </c>
      <c r="C1299" s="9" t="s">
        <v>47</v>
      </c>
      <c r="D1299" s="11" t="s">
        <v>2374</v>
      </c>
      <c r="E1299" s="9">
        <v>9.710501511479E12</v>
      </c>
      <c r="F1299" s="12" t="s">
        <v>2375</v>
      </c>
      <c r="G1299" s="9" t="s">
        <v>199</v>
      </c>
      <c r="H1299" s="9" t="s">
        <v>17</v>
      </c>
      <c r="I1299" s="13"/>
      <c r="J1299" s="13"/>
      <c r="K1299" s="14"/>
      <c r="L1299" s="13"/>
      <c r="M1299" s="14"/>
      <c r="N1299" s="15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</row>
    <row r="1300">
      <c r="A1300" s="9">
        <v>1298.0</v>
      </c>
      <c r="B1300" s="10">
        <v>44006.0</v>
      </c>
      <c r="C1300" s="9" t="s">
        <v>47</v>
      </c>
      <c r="D1300" s="11" t="s">
        <v>2376</v>
      </c>
      <c r="E1300" s="9">
        <v>9.710555463123E12</v>
      </c>
      <c r="F1300" s="12" t="s">
        <v>2377</v>
      </c>
      <c r="G1300" s="9" t="s">
        <v>40</v>
      </c>
      <c r="H1300" s="9" t="s">
        <v>41</v>
      </c>
      <c r="I1300" s="13"/>
      <c r="J1300" s="13"/>
      <c r="K1300" s="14"/>
      <c r="L1300" s="13"/>
      <c r="M1300" s="14"/>
      <c r="N1300" s="15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</row>
    <row r="1301">
      <c r="A1301" s="9">
        <v>1299.0</v>
      </c>
      <c r="B1301" s="10">
        <v>44006.0</v>
      </c>
      <c r="C1301" s="9" t="s">
        <v>47</v>
      </c>
      <c r="D1301" s="11" t="s">
        <v>767</v>
      </c>
      <c r="E1301" s="9">
        <v>9.710506232119E12</v>
      </c>
      <c r="F1301" s="12" t="s">
        <v>2378</v>
      </c>
      <c r="G1301" s="9" t="s">
        <v>627</v>
      </c>
      <c r="H1301" s="9" t="s">
        <v>17</v>
      </c>
      <c r="I1301" s="13"/>
      <c r="J1301" s="13"/>
      <c r="K1301" s="14"/>
      <c r="L1301" s="13"/>
      <c r="M1301" s="14"/>
      <c r="N1301" s="15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</row>
    <row r="1302">
      <c r="A1302" s="9">
        <v>1300.0</v>
      </c>
      <c r="B1302" s="10">
        <v>44005.0</v>
      </c>
      <c r="C1302" s="9" t="s">
        <v>47</v>
      </c>
      <c r="D1302" s="11" t="s">
        <v>2379</v>
      </c>
      <c r="E1302" s="9">
        <v>9.710508407776E12</v>
      </c>
      <c r="F1302" s="12" t="s">
        <v>2380</v>
      </c>
      <c r="G1302" s="9" t="s">
        <v>1823</v>
      </c>
      <c r="H1302" s="9" t="s">
        <v>41</v>
      </c>
      <c r="I1302" s="13"/>
      <c r="J1302" s="13"/>
      <c r="K1302" s="14"/>
      <c r="L1302" s="13"/>
      <c r="M1302" s="14"/>
      <c r="N1302" s="15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</row>
    <row r="1303">
      <c r="A1303" s="9">
        <v>1301.0</v>
      </c>
      <c r="B1303" s="10">
        <v>44005.0</v>
      </c>
      <c r="C1303" s="9" t="s">
        <v>47</v>
      </c>
      <c r="D1303" s="11" t="s">
        <v>2381</v>
      </c>
      <c r="E1303" s="9">
        <v>9.710504517337E12</v>
      </c>
      <c r="F1303" s="12" t="s">
        <v>2382</v>
      </c>
      <c r="G1303" s="9" t="s">
        <v>2383</v>
      </c>
      <c r="H1303" s="9" t="s">
        <v>81</v>
      </c>
      <c r="I1303" s="13"/>
      <c r="J1303" s="13"/>
      <c r="K1303" s="14"/>
      <c r="L1303" s="13"/>
      <c r="M1303" s="14"/>
      <c r="N1303" s="15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</row>
    <row r="1304">
      <c r="A1304" s="9">
        <v>1302.0</v>
      </c>
      <c r="B1304" s="10">
        <v>44005.0</v>
      </c>
      <c r="C1304" s="9" t="s">
        <v>2258</v>
      </c>
      <c r="D1304" s="11" t="s">
        <v>2384</v>
      </c>
      <c r="E1304" s="17">
        <f>+9710588273551</f>
        <v>9710588273551</v>
      </c>
      <c r="F1304" s="12" t="s">
        <v>2385</v>
      </c>
      <c r="G1304" s="9" t="s">
        <v>627</v>
      </c>
      <c r="H1304" s="9" t="s">
        <v>17</v>
      </c>
      <c r="I1304" s="13"/>
      <c r="J1304" s="13"/>
      <c r="K1304" s="14"/>
      <c r="L1304" s="13"/>
      <c r="M1304" s="14"/>
      <c r="N1304" s="15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</row>
    <row r="1305">
      <c r="A1305" s="9">
        <v>1303.0</v>
      </c>
      <c r="B1305" s="10">
        <v>44005.0</v>
      </c>
      <c r="C1305" s="9" t="s">
        <v>2258</v>
      </c>
      <c r="D1305" s="11" t="s">
        <v>2386</v>
      </c>
      <c r="E1305" s="17">
        <f>+9710504536732</f>
        <v>9710504536732</v>
      </c>
      <c r="F1305" s="12" t="s">
        <v>2387</v>
      </c>
      <c r="G1305" s="9" t="s">
        <v>109</v>
      </c>
      <c r="H1305" s="9" t="s">
        <v>13</v>
      </c>
      <c r="I1305" s="13"/>
      <c r="J1305" s="13"/>
      <c r="K1305" s="14"/>
      <c r="L1305" s="13"/>
      <c r="M1305" s="14"/>
      <c r="N1305" s="15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</row>
    <row r="1306">
      <c r="A1306" s="9">
        <v>1304.0</v>
      </c>
      <c r="B1306" s="10">
        <v>44005.0</v>
      </c>
      <c r="C1306" s="9" t="s">
        <v>2306</v>
      </c>
      <c r="D1306" s="11" t="s">
        <v>2388</v>
      </c>
      <c r="E1306" s="17">
        <f>+971502787248</f>
        <v>971502787248</v>
      </c>
      <c r="F1306" s="12" t="s">
        <v>2389</v>
      </c>
      <c r="G1306" s="9" t="s">
        <v>80</v>
      </c>
      <c r="H1306" s="9" t="s">
        <v>17</v>
      </c>
      <c r="I1306" s="13"/>
      <c r="J1306" s="13"/>
      <c r="K1306" s="14"/>
      <c r="L1306" s="13"/>
      <c r="M1306" s="14"/>
      <c r="N1306" s="15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</row>
    <row r="1307">
      <c r="A1307" s="9">
        <v>1305.0</v>
      </c>
      <c r="B1307" s="10">
        <v>44005.0</v>
      </c>
      <c r="C1307" s="9" t="s">
        <v>2258</v>
      </c>
      <c r="D1307" s="11" t="s">
        <v>2390</v>
      </c>
      <c r="E1307" s="17">
        <f>+971566570138</f>
        <v>971566570138</v>
      </c>
      <c r="F1307" s="12" t="s">
        <v>2391</v>
      </c>
      <c r="G1307" s="9" t="s">
        <v>176</v>
      </c>
      <c r="H1307" s="9" t="s">
        <v>21</v>
      </c>
      <c r="I1307" s="13"/>
      <c r="J1307" s="13"/>
      <c r="K1307" s="14"/>
      <c r="L1307" s="13"/>
      <c r="M1307" s="14"/>
      <c r="N1307" s="15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</row>
    <row r="1308">
      <c r="A1308" s="9">
        <v>1306.0</v>
      </c>
      <c r="B1308" s="10">
        <v>44005.0</v>
      </c>
      <c r="C1308" s="9" t="s">
        <v>2258</v>
      </c>
      <c r="D1308" s="11" t="s">
        <v>2392</v>
      </c>
      <c r="E1308" s="17">
        <f>+971507213710</f>
        <v>971507213710</v>
      </c>
      <c r="F1308" s="12" t="s">
        <v>2393</v>
      </c>
      <c r="G1308" s="9" t="s">
        <v>149</v>
      </c>
      <c r="H1308" s="9" t="s">
        <v>13</v>
      </c>
      <c r="I1308" s="13"/>
      <c r="J1308" s="13"/>
      <c r="K1308" s="14"/>
      <c r="L1308" s="13"/>
      <c r="M1308" s="14"/>
      <c r="N1308" s="15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</row>
    <row r="1309">
      <c r="A1309" s="9">
        <v>1307.0</v>
      </c>
      <c r="B1309" s="10">
        <v>44005.0</v>
      </c>
      <c r="C1309" s="9" t="s">
        <v>2258</v>
      </c>
      <c r="D1309" s="11" t="s">
        <v>2394</v>
      </c>
      <c r="E1309" s="17">
        <f>+17144159897</f>
        <v>17144159897</v>
      </c>
      <c r="F1309" s="12" t="s">
        <v>2395</v>
      </c>
      <c r="G1309" s="9" t="s">
        <v>300</v>
      </c>
      <c r="H1309" s="9" t="s">
        <v>41</v>
      </c>
      <c r="I1309" s="13"/>
      <c r="J1309" s="13"/>
      <c r="K1309" s="14"/>
      <c r="L1309" s="13"/>
      <c r="M1309" s="14"/>
      <c r="N1309" s="15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</row>
    <row r="1310">
      <c r="A1310" s="9">
        <v>1308.0</v>
      </c>
      <c r="B1310" s="10">
        <v>44004.0</v>
      </c>
      <c r="C1310" s="9" t="s">
        <v>47</v>
      </c>
      <c r="D1310" s="11" t="s">
        <v>2396</v>
      </c>
      <c r="E1310" s="9">
        <v>4.47387113001E11</v>
      </c>
      <c r="F1310" s="12" t="s">
        <v>2397</v>
      </c>
      <c r="G1310" s="9" t="s">
        <v>432</v>
      </c>
      <c r="H1310" s="9" t="s">
        <v>260</v>
      </c>
      <c r="I1310" s="13"/>
      <c r="J1310" s="13"/>
      <c r="K1310" s="14"/>
      <c r="L1310" s="13"/>
      <c r="M1310" s="14"/>
      <c r="N1310" s="15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</row>
    <row r="1311">
      <c r="A1311" s="9">
        <v>1309.0</v>
      </c>
      <c r="B1311" s="10">
        <v>44004.0</v>
      </c>
      <c r="C1311" s="9" t="s">
        <v>2347</v>
      </c>
      <c r="D1311" s="11" t="s">
        <v>2398</v>
      </c>
      <c r="E1311" s="9" t="s">
        <v>410</v>
      </c>
      <c r="F1311" s="9" t="s">
        <v>410</v>
      </c>
      <c r="G1311" s="9" t="s">
        <v>35</v>
      </c>
      <c r="H1311" s="9" t="s">
        <v>206</v>
      </c>
      <c r="I1311" s="13"/>
      <c r="J1311" s="13"/>
      <c r="K1311" s="14"/>
      <c r="L1311" s="13"/>
      <c r="M1311" s="14"/>
      <c r="N1311" s="15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</row>
    <row r="1312">
      <c r="A1312" s="9">
        <v>1310.0</v>
      </c>
      <c r="B1312" s="10">
        <v>44004.0</v>
      </c>
      <c r="C1312" s="9" t="s">
        <v>47</v>
      </c>
      <c r="D1312" s="11" t="s">
        <v>2399</v>
      </c>
      <c r="E1312" s="9">
        <v>9.710552348769E12</v>
      </c>
      <c r="F1312" s="12" t="s">
        <v>2400</v>
      </c>
      <c r="G1312" s="9" t="s">
        <v>1221</v>
      </c>
      <c r="H1312" s="9" t="s">
        <v>41</v>
      </c>
      <c r="I1312" s="13"/>
      <c r="J1312" s="13"/>
      <c r="K1312" s="14"/>
      <c r="L1312" s="13"/>
      <c r="M1312" s="14"/>
      <c r="N1312" s="15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</row>
    <row r="1313">
      <c r="A1313" s="9">
        <v>1311.0</v>
      </c>
      <c r="B1313" s="10">
        <v>44004.0</v>
      </c>
      <c r="C1313" s="9" t="s">
        <v>47</v>
      </c>
      <c r="D1313" s="11" t="s">
        <v>2401</v>
      </c>
      <c r="E1313" s="9">
        <v>9.66597914559E11</v>
      </c>
      <c r="F1313" s="12" t="s">
        <v>2402</v>
      </c>
      <c r="G1313" s="9" t="s">
        <v>40</v>
      </c>
      <c r="H1313" s="9" t="s">
        <v>17</v>
      </c>
      <c r="I1313" s="13"/>
      <c r="J1313" s="13"/>
      <c r="K1313" s="14"/>
      <c r="L1313" s="13"/>
      <c r="M1313" s="14"/>
      <c r="N1313" s="15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</row>
    <row r="1314">
      <c r="A1314" s="9">
        <v>1312.0</v>
      </c>
      <c r="B1314" s="10">
        <v>44004.0</v>
      </c>
      <c r="C1314" s="9" t="s">
        <v>47</v>
      </c>
      <c r="D1314" s="11" t="s">
        <v>2403</v>
      </c>
      <c r="E1314" s="9">
        <v>9.71056111766E12</v>
      </c>
      <c r="F1314" s="12" t="s">
        <v>2404</v>
      </c>
      <c r="G1314" s="9" t="s">
        <v>16</v>
      </c>
      <c r="H1314" s="9" t="s">
        <v>17</v>
      </c>
      <c r="I1314" s="13"/>
      <c r="J1314" s="13"/>
      <c r="K1314" s="14"/>
      <c r="L1314" s="13"/>
      <c r="M1314" s="14"/>
      <c r="N1314" s="15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</row>
    <row r="1315">
      <c r="A1315" s="9">
        <v>1313.0</v>
      </c>
      <c r="B1315" s="10">
        <v>44004.0</v>
      </c>
      <c r="C1315" s="9" t="s">
        <v>47</v>
      </c>
      <c r="D1315" s="11" t="s">
        <v>2405</v>
      </c>
      <c r="E1315" s="9">
        <v>9.71566031011E11</v>
      </c>
      <c r="F1315" s="12" t="s">
        <v>2406</v>
      </c>
      <c r="G1315" s="9" t="s">
        <v>20</v>
      </c>
      <c r="H1315" s="9" t="s">
        <v>81</v>
      </c>
      <c r="I1315" s="13"/>
      <c r="J1315" s="13"/>
      <c r="K1315" s="14"/>
      <c r="L1315" s="13"/>
      <c r="M1315" s="14"/>
      <c r="N1315" s="15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</row>
    <row r="1316">
      <c r="A1316" s="9">
        <v>1314.0</v>
      </c>
      <c r="B1316" s="10">
        <v>44004.0</v>
      </c>
      <c r="C1316" s="9" t="s">
        <v>2321</v>
      </c>
      <c r="D1316" s="11" t="s">
        <v>2407</v>
      </c>
      <c r="E1316" s="17">
        <f>+14077582149</f>
        <v>14077582149</v>
      </c>
      <c r="F1316" s="12" t="s">
        <v>2408</v>
      </c>
      <c r="G1316" s="9" t="s">
        <v>181</v>
      </c>
      <c r="H1316" s="9" t="s">
        <v>206</v>
      </c>
      <c r="I1316" s="13"/>
      <c r="J1316" s="13"/>
      <c r="K1316" s="14"/>
      <c r="L1316" s="13"/>
      <c r="M1316" s="14"/>
      <c r="N1316" s="15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</row>
    <row r="1317">
      <c r="A1317" s="9">
        <v>1315.0</v>
      </c>
      <c r="B1317" s="10">
        <v>44004.0</v>
      </c>
      <c r="C1317" s="9" t="s">
        <v>2306</v>
      </c>
      <c r="D1317" s="11" t="s">
        <v>2409</v>
      </c>
      <c r="E1317" s="17">
        <f>+96560083834</f>
        <v>96560083834</v>
      </c>
      <c r="F1317" s="12" t="s">
        <v>2410</v>
      </c>
      <c r="G1317" s="9" t="s">
        <v>134</v>
      </c>
      <c r="H1317" s="9" t="s">
        <v>17</v>
      </c>
      <c r="I1317" s="13"/>
      <c r="J1317" s="13"/>
      <c r="K1317" s="14"/>
      <c r="L1317" s="13"/>
      <c r="M1317" s="14"/>
      <c r="N1317" s="15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</row>
    <row r="1318">
      <c r="A1318" s="9">
        <v>1316.0</v>
      </c>
      <c r="B1318" s="10">
        <v>44004.0</v>
      </c>
      <c r="C1318" s="9" t="s">
        <v>1635</v>
      </c>
      <c r="D1318" s="11" t="s">
        <v>2411</v>
      </c>
      <c r="E1318" s="17">
        <f>+4407805407004</f>
        <v>4407805407004</v>
      </c>
      <c r="F1318" s="12" t="s">
        <v>2412</v>
      </c>
      <c r="G1318" s="9" t="s">
        <v>2126</v>
      </c>
      <c r="H1318" s="9" t="s">
        <v>41</v>
      </c>
      <c r="I1318" s="13"/>
      <c r="J1318" s="13"/>
      <c r="K1318" s="14"/>
      <c r="L1318" s="13"/>
      <c r="M1318" s="14"/>
      <c r="N1318" s="15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</row>
    <row r="1319">
      <c r="A1319" s="9">
        <v>1317.0</v>
      </c>
      <c r="B1319" s="10">
        <v>44004.0</v>
      </c>
      <c r="C1319" s="9" t="s">
        <v>2306</v>
      </c>
      <c r="D1319" s="11" t="s">
        <v>2413</v>
      </c>
      <c r="E1319" s="17">
        <f>+971506433316</f>
        <v>971506433316</v>
      </c>
      <c r="F1319" s="12" t="s">
        <v>2414</v>
      </c>
      <c r="G1319" s="9" t="s">
        <v>300</v>
      </c>
      <c r="H1319" s="9" t="s">
        <v>41</v>
      </c>
      <c r="I1319" s="13"/>
      <c r="J1319" s="13"/>
      <c r="K1319" s="14"/>
      <c r="L1319" s="13"/>
      <c r="M1319" s="14"/>
      <c r="N1319" s="15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</row>
    <row r="1320">
      <c r="A1320" s="9">
        <v>1318.0</v>
      </c>
      <c r="B1320" s="10">
        <v>44004.0</v>
      </c>
      <c r="C1320" s="9" t="s">
        <v>2306</v>
      </c>
      <c r="D1320" s="11" t="s">
        <v>2415</v>
      </c>
      <c r="E1320" s="17">
        <f>+9710557101085</f>
        <v>9710557101085</v>
      </c>
      <c r="F1320" s="12" t="s">
        <v>2416</v>
      </c>
      <c r="G1320" s="9" t="s">
        <v>80</v>
      </c>
      <c r="H1320" s="9" t="s">
        <v>81</v>
      </c>
      <c r="I1320" s="13"/>
      <c r="J1320" s="13"/>
      <c r="K1320" s="14"/>
      <c r="L1320" s="13"/>
      <c r="M1320" s="14"/>
      <c r="N1320" s="15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</row>
    <row r="1321">
      <c r="A1321" s="9">
        <v>1319.0</v>
      </c>
      <c r="B1321" s="10">
        <v>44004.0</v>
      </c>
      <c r="C1321" s="9" t="s">
        <v>2306</v>
      </c>
      <c r="D1321" s="11" t="s">
        <v>2417</v>
      </c>
      <c r="E1321" s="17">
        <f>+971566187606</f>
        <v>971566187606</v>
      </c>
      <c r="F1321" s="12" t="s">
        <v>2418</v>
      </c>
      <c r="G1321" s="9" t="s">
        <v>176</v>
      </c>
      <c r="H1321" s="9" t="s">
        <v>41</v>
      </c>
      <c r="I1321" s="13"/>
      <c r="J1321" s="13"/>
      <c r="K1321" s="14"/>
      <c r="L1321" s="13"/>
      <c r="M1321" s="14"/>
      <c r="N1321" s="15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</row>
    <row r="1322">
      <c r="A1322" s="9">
        <v>1320.0</v>
      </c>
      <c r="B1322" s="10">
        <v>44003.0</v>
      </c>
      <c r="C1322" s="9" t="s">
        <v>47</v>
      </c>
      <c r="D1322" s="11" t="s">
        <v>2419</v>
      </c>
      <c r="E1322" s="9">
        <v>9.71552227842E11</v>
      </c>
      <c r="F1322" s="12" t="s">
        <v>2420</v>
      </c>
      <c r="G1322" s="9" t="s">
        <v>176</v>
      </c>
      <c r="H1322" s="9" t="s">
        <v>41</v>
      </c>
      <c r="I1322" s="13"/>
      <c r="J1322" s="13"/>
      <c r="K1322" s="14"/>
      <c r="L1322" s="13"/>
      <c r="M1322" s="14"/>
      <c r="N1322" s="15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</row>
    <row r="1323">
      <c r="A1323" s="9">
        <v>1321.0</v>
      </c>
      <c r="B1323" s="10">
        <v>44003.0</v>
      </c>
      <c r="C1323" s="9" t="s">
        <v>47</v>
      </c>
      <c r="D1323" s="11" t="s">
        <v>2421</v>
      </c>
      <c r="E1323" s="9">
        <v>9.71528249549E11</v>
      </c>
      <c r="F1323" s="12" t="s">
        <v>2422</v>
      </c>
      <c r="G1323" s="9" t="s">
        <v>300</v>
      </c>
      <c r="H1323" s="9" t="s">
        <v>17</v>
      </c>
      <c r="I1323" s="13"/>
      <c r="J1323" s="13"/>
      <c r="K1323" s="14"/>
      <c r="L1323" s="13"/>
      <c r="M1323" s="14"/>
      <c r="N1323" s="15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</row>
    <row r="1324">
      <c r="A1324" s="9">
        <v>1322.0</v>
      </c>
      <c r="B1324" s="10">
        <v>44003.0</v>
      </c>
      <c r="C1324" s="9" t="s">
        <v>2321</v>
      </c>
      <c r="D1324" s="11" t="s">
        <v>2423</v>
      </c>
      <c r="E1324" s="17">
        <f>+971553117020</f>
        <v>971553117020</v>
      </c>
      <c r="F1324" s="12" t="s">
        <v>2424</v>
      </c>
      <c r="G1324" s="9" t="s">
        <v>20</v>
      </c>
      <c r="H1324" s="9" t="s">
        <v>17</v>
      </c>
      <c r="I1324" s="13"/>
      <c r="J1324" s="13"/>
      <c r="K1324" s="14"/>
      <c r="L1324" s="13"/>
      <c r="M1324" s="14"/>
      <c r="N1324" s="15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</row>
    <row r="1325">
      <c r="A1325" s="9">
        <v>1323.0</v>
      </c>
      <c r="B1325" s="10">
        <v>44003.0</v>
      </c>
      <c r="C1325" s="9" t="s">
        <v>2306</v>
      </c>
      <c r="D1325" s="11" t="s">
        <v>2425</v>
      </c>
      <c r="E1325" s="17">
        <f>+9710529887535</f>
        <v>9710529887535</v>
      </c>
      <c r="F1325" s="12" t="s">
        <v>2426</v>
      </c>
      <c r="G1325" s="9" t="s">
        <v>176</v>
      </c>
      <c r="H1325" s="9" t="s">
        <v>41</v>
      </c>
      <c r="I1325" s="13"/>
      <c r="J1325" s="13"/>
      <c r="K1325" s="14"/>
      <c r="L1325" s="13"/>
      <c r="M1325" s="14"/>
      <c r="N1325" s="15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</row>
    <row r="1326">
      <c r="A1326" s="9">
        <v>1324.0</v>
      </c>
      <c r="B1326" s="10">
        <v>44003.0</v>
      </c>
      <c r="C1326" s="9" t="s">
        <v>2306</v>
      </c>
      <c r="D1326" s="11" t="s">
        <v>2427</v>
      </c>
      <c r="E1326" s="17">
        <f>+9710507371508</f>
        <v>9710507371508</v>
      </c>
      <c r="F1326" s="12" t="s">
        <v>2428</v>
      </c>
      <c r="G1326" s="9" t="s">
        <v>80</v>
      </c>
      <c r="H1326" s="9" t="s">
        <v>17</v>
      </c>
      <c r="I1326" s="13"/>
      <c r="J1326" s="13"/>
      <c r="K1326" s="14"/>
      <c r="L1326" s="13"/>
      <c r="M1326" s="14"/>
      <c r="N1326" s="15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</row>
    <row r="1327">
      <c r="A1327" s="9">
        <v>1325.0</v>
      </c>
      <c r="B1327" s="10">
        <v>44003.0</v>
      </c>
      <c r="C1327" s="9" t="s">
        <v>420</v>
      </c>
      <c r="D1327" s="11" t="s">
        <v>2429</v>
      </c>
      <c r="E1327" s="9">
        <v>9.89121113103E11</v>
      </c>
      <c r="F1327" s="12" t="s">
        <v>2430</v>
      </c>
      <c r="G1327" s="9" t="s">
        <v>199</v>
      </c>
      <c r="H1327" s="9" t="s">
        <v>41</v>
      </c>
      <c r="I1327" s="13"/>
      <c r="J1327" s="13"/>
      <c r="K1327" s="28"/>
      <c r="L1327" s="13"/>
      <c r="M1327" s="14"/>
      <c r="N1327" s="15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</row>
    <row r="1328">
      <c r="A1328" s="9">
        <v>1326.0</v>
      </c>
      <c r="B1328" s="10">
        <v>44002.0</v>
      </c>
      <c r="C1328" s="9" t="s">
        <v>1635</v>
      </c>
      <c r="D1328" s="11" t="s">
        <v>2431</v>
      </c>
      <c r="E1328" s="17">
        <f>+610430820878</f>
        <v>610430820878</v>
      </c>
      <c r="F1328" s="12" t="s">
        <v>2432</v>
      </c>
      <c r="G1328" s="9" t="s">
        <v>2126</v>
      </c>
      <c r="H1328" s="9" t="s">
        <v>41</v>
      </c>
      <c r="I1328" s="13"/>
      <c r="J1328" s="13"/>
      <c r="K1328" s="14"/>
      <c r="L1328" s="13"/>
      <c r="M1328" s="14"/>
      <c r="N1328" s="15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</row>
    <row r="1329">
      <c r="A1329" s="9">
        <v>1327.0</v>
      </c>
      <c r="B1329" s="10">
        <v>44002.0</v>
      </c>
      <c r="C1329" s="9" t="s">
        <v>2306</v>
      </c>
      <c r="D1329" s="11" t="s">
        <v>2433</v>
      </c>
      <c r="E1329" s="17">
        <f>+966501216567</f>
        <v>966501216567</v>
      </c>
      <c r="F1329" s="12" t="s">
        <v>2434</v>
      </c>
      <c r="G1329" s="9" t="s">
        <v>176</v>
      </c>
      <c r="H1329" s="9" t="s">
        <v>81</v>
      </c>
      <c r="I1329" s="13"/>
      <c r="J1329" s="13"/>
      <c r="K1329" s="14"/>
      <c r="L1329" s="13"/>
      <c r="M1329" s="14"/>
      <c r="N1329" s="15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</row>
    <row r="1330">
      <c r="A1330" s="9">
        <v>1328.0</v>
      </c>
      <c r="B1330" s="10">
        <v>44002.0</v>
      </c>
      <c r="C1330" s="9" t="s">
        <v>1635</v>
      </c>
      <c r="D1330" s="11" t="s">
        <v>2435</v>
      </c>
      <c r="E1330" s="17">
        <f>+447367324844</f>
        <v>447367324844</v>
      </c>
      <c r="F1330" s="12" t="s">
        <v>2436</v>
      </c>
      <c r="G1330" s="9" t="s">
        <v>1881</v>
      </c>
      <c r="H1330" s="9" t="s">
        <v>260</v>
      </c>
      <c r="I1330" s="13"/>
      <c r="J1330" s="13"/>
      <c r="K1330" s="14"/>
      <c r="L1330" s="13"/>
      <c r="M1330" s="14"/>
      <c r="N1330" s="15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</row>
    <row r="1331">
      <c r="A1331" s="9">
        <v>1329.0</v>
      </c>
      <c r="B1331" s="10">
        <v>44002.0</v>
      </c>
      <c r="C1331" s="9" t="s">
        <v>2321</v>
      </c>
      <c r="D1331" s="11" t="s">
        <v>2348</v>
      </c>
      <c r="E1331" s="17">
        <f>+9710506588846</f>
        <v>9710506588846</v>
      </c>
      <c r="F1331" s="12" t="s">
        <v>2437</v>
      </c>
      <c r="G1331" s="9" t="s">
        <v>35</v>
      </c>
      <c r="H1331" s="9" t="s">
        <v>206</v>
      </c>
      <c r="I1331" s="13"/>
      <c r="J1331" s="13"/>
      <c r="K1331" s="14"/>
      <c r="L1331" s="13"/>
      <c r="M1331" s="14"/>
      <c r="N1331" s="15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</row>
    <row r="1332">
      <c r="A1332" s="9">
        <v>1330.0</v>
      </c>
      <c r="B1332" s="10">
        <v>44002.0</v>
      </c>
      <c r="C1332" s="9" t="s">
        <v>2306</v>
      </c>
      <c r="D1332" s="11" t="s">
        <v>2438</v>
      </c>
      <c r="E1332" s="17">
        <f>+971507061573</f>
        <v>971507061573</v>
      </c>
      <c r="F1332" s="12" t="s">
        <v>2439</v>
      </c>
      <c r="G1332" s="9" t="s">
        <v>80</v>
      </c>
      <c r="H1332" s="9" t="s">
        <v>206</v>
      </c>
      <c r="I1332" s="13"/>
      <c r="J1332" s="13"/>
      <c r="K1332" s="14"/>
      <c r="L1332" s="13"/>
      <c r="M1332" s="14"/>
      <c r="N1332" s="15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</row>
    <row r="1333">
      <c r="A1333" s="9">
        <v>1331.0</v>
      </c>
      <c r="B1333" s="10">
        <v>44001.0</v>
      </c>
      <c r="C1333" s="9" t="s">
        <v>2440</v>
      </c>
      <c r="D1333" s="11" t="s">
        <v>2441</v>
      </c>
      <c r="E1333" s="9" t="s">
        <v>410</v>
      </c>
      <c r="F1333" s="9" t="s">
        <v>410</v>
      </c>
      <c r="G1333" s="9" t="s">
        <v>35</v>
      </c>
      <c r="H1333" s="9" t="s">
        <v>206</v>
      </c>
      <c r="I1333" s="13"/>
      <c r="J1333" s="13"/>
      <c r="K1333" s="14"/>
      <c r="L1333" s="13"/>
      <c r="M1333" s="14"/>
      <c r="N1333" s="15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</row>
    <row r="1334">
      <c r="A1334" s="9">
        <v>1332.0</v>
      </c>
      <c r="B1334" s="10">
        <v>44001.0</v>
      </c>
      <c r="C1334" s="9" t="s">
        <v>47</v>
      </c>
      <c r="D1334" s="11" t="s">
        <v>2442</v>
      </c>
      <c r="E1334" s="9">
        <v>9.710507683376E12</v>
      </c>
      <c r="F1334" s="12" t="s">
        <v>2443</v>
      </c>
      <c r="G1334" s="9" t="s">
        <v>1221</v>
      </c>
      <c r="H1334" s="9" t="s">
        <v>17</v>
      </c>
      <c r="I1334" s="13"/>
      <c r="J1334" s="13"/>
      <c r="K1334" s="14"/>
      <c r="L1334" s="13"/>
      <c r="M1334" s="14"/>
      <c r="N1334" s="15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</row>
    <row r="1335">
      <c r="A1335" s="9">
        <v>1333.0</v>
      </c>
      <c r="B1335" s="10">
        <v>44001.0</v>
      </c>
      <c r="C1335" s="9" t="s">
        <v>2321</v>
      </c>
      <c r="D1335" s="11" t="s">
        <v>2444</v>
      </c>
      <c r="E1335" s="17">
        <f>+9710506378485</f>
        <v>9710506378485</v>
      </c>
      <c r="F1335" s="12" t="s">
        <v>2445</v>
      </c>
      <c r="G1335" s="9" t="s">
        <v>1039</v>
      </c>
      <c r="H1335" s="9" t="s">
        <v>41</v>
      </c>
      <c r="I1335" s="13"/>
      <c r="J1335" s="13"/>
      <c r="K1335" s="14"/>
      <c r="L1335" s="13"/>
      <c r="M1335" s="14"/>
      <c r="N1335" s="15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</row>
    <row r="1336">
      <c r="A1336" s="9">
        <v>1334.0</v>
      </c>
      <c r="B1336" s="10">
        <v>44001.0</v>
      </c>
      <c r="C1336" s="9" t="s">
        <v>2306</v>
      </c>
      <c r="D1336" s="11" t="s">
        <v>2446</v>
      </c>
      <c r="E1336" s="17">
        <f>+971509332777</f>
        <v>971509332777</v>
      </c>
      <c r="F1336" s="12" t="s">
        <v>2447</v>
      </c>
      <c r="G1336" s="9" t="s">
        <v>181</v>
      </c>
      <c r="H1336" s="9" t="s">
        <v>260</v>
      </c>
      <c r="I1336" s="13"/>
      <c r="J1336" s="13"/>
      <c r="K1336" s="14"/>
      <c r="L1336" s="13"/>
      <c r="M1336" s="14"/>
      <c r="N1336" s="15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</row>
    <row r="1337">
      <c r="A1337" s="9">
        <v>1335.0</v>
      </c>
      <c r="B1337" s="10">
        <v>44001.0</v>
      </c>
      <c r="C1337" s="9" t="s">
        <v>2306</v>
      </c>
      <c r="D1337" s="11" t="s">
        <v>2448</v>
      </c>
      <c r="E1337" s="17">
        <f>+971557740855</f>
        <v>971557740855</v>
      </c>
      <c r="F1337" s="12" t="s">
        <v>2449</v>
      </c>
      <c r="G1337" s="9" t="s">
        <v>80</v>
      </c>
      <c r="H1337" s="9" t="s">
        <v>81</v>
      </c>
      <c r="I1337" s="13"/>
      <c r="J1337" s="13"/>
      <c r="K1337" s="14"/>
      <c r="L1337" s="13"/>
      <c r="M1337" s="14"/>
      <c r="N1337" s="15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</row>
    <row r="1338">
      <c r="A1338" s="9">
        <v>1336.0</v>
      </c>
      <c r="B1338" s="10">
        <v>44000.0</v>
      </c>
      <c r="C1338" s="9" t="s">
        <v>47</v>
      </c>
      <c r="D1338" s="11" t="s">
        <v>2450</v>
      </c>
      <c r="E1338" s="9">
        <v>9.71505033305E11</v>
      </c>
      <c r="F1338" s="12" t="s">
        <v>2451</v>
      </c>
      <c r="G1338" s="9" t="s">
        <v>40</v>
      </c>
      <c r="H1338" s="9" t="s">
        <v>21</v>
      </c>
      <c r="I1338" s="13"/>
      <c r="J1338" s="13"/>
      <c r="K1338" s="14"/>
      <c r="L1338" s="13"/>
      <c r="M1338" s="14"/>
      <c r="N1338" s="15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</row>
    <row r="1339">
      <c r="A1339" s="9">
        <v>1337.0</v>
      </c>
      <c r="B1339" s="10">
        <v>44000.0</v>
      </c>
      <c r="C1339" s="9" t="s">
        <v>2452</v>
      </c>
      <c r="D1339" s="11" t="s">
        <v>2453</v>
      </c>
      <c r="E1339" s="9">
        <v>9.71503256775E11</v>
      </c>
      <c r="F1339" s="12" t="s">
        <v>2454</v>
      </c>
      <c r="G1339" s="9" t="s">
        <v>176</v>
      </c>
      <c r="H1339" s="9" t="s">
        <v>81</v>
      </c>
      <c r="I1339" s="13"/>
      <c r="J1339" s="13"/>
      <c r="K1339" s="14"/>
      <c r="L1339" s="13"/>
      <c r="M1339" s="14"/>
      <c r="N1339" s="15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</row>
    <row r="1340">
      <c r="A1340" s="9">
        <v>1338.0</v>
      </c>
      <c r="B1340" s="10">
        <v>44000.0</v>
      </c>
      <c r="C1340" s="9" t="s">
        <v>2452</v>
      </c>
      <c r="D1340" s="11" t="s">
        <v>2455</v>
      </c>
      <c r="E1340" s="9">
        <v>9.71508404006E11</v>
      </c>
      <c r="F1340" s="12" t="s">
        <v>2456</v>
      </c>
      <c r="G1340" s="9" t="s">
        <v>52</v>
      </c>
      <c r="H1340" s="9" t="s">
        <v>21</v>
      </c>
      <c r="I1340" s="13"/>
      <c r="J1340" s="13"/>
      <c r="K1340" s="14"/>
      <c r="L1340" s="13"/>
      <c r="M1340" s="14"/>
      <c r="N1340" s="15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</row>
    <row r="1341">
      <c r="A1341" s="9">
        <v>1339.0</v>
      </c>
      <c r="B1341" s="10">
        <v>44000.0</v>
      </c>
      <c r="C1341" s="9" t="s">
        <v>2452</v>
      </c>
      <c r="D1341" s="11" t="s">
        <v>2457</v>
      </c>
      <c r="E1341" s="9">
        <v>9.710552055786E12</v>
      </c>
      <c r="F1341" s="12" t="s">
        <v>2458</v>
      </c>
      <c r="G1341" s="9" t="s">
        <v>149</v>
      </c>
      <c r="H1341" s="9" t="s">
        <v>13</v>
      </c>
      <c r="I1341" s="13"/>
      <c r="J1341" s="13"/>
      <c r="K1341" s="14"/>
      <c r="L1341" s="13"/>
      <c r="M1341" s="14"/>
      <c r="N1341" s="15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</row>
    <row r="1342">
      <c r="A1342" s="9">
        <v>1340.0</v>
      </c>
      <c r="B1342" s="10">
        <v>43999.0</v>
      </c>
      <c r="C1342" s="9" t="s">
        <v>2452</v>
      </c>
      <c r="D1342" s="11" t="s">
        <v>2459</v>
      </c>
      <c r="E1342" s="9">
        <v>9.71585201087E11</v>
      </c>
      <c r="F1342" s="12" t="s">
        <v>2460</v>
      </c>
      <c r="G1342" s="9" t="s">
        <v>300</v>
      </c>
      <c r="H1342" s="9" t="s">
        <v>41</v>
      </c>
      <c r="I1342" s="13"/>
      <c r="J1342" s="13"/>
      <c r="K1342" s="14"/>
      <c r="L1342" s="13"/>
      <c r="M1342" s="14"/>
      <c r="N1342" s="15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</row>
    <row r="1343">
      <c r="A1343" s="9">
        <v>1341.0</v>
      </c>
      <c r="B1343" s="10">
        <v>43999.0</v>
      </c>
      <c r="C1343" s="9" t="s">
        <v>2452</v>
      </c>
      <c r="D1343" s="11" t="s">
        <v>2461</v>
      </c>
      <c r="E1343" s="9">
        <v>9.7477102672E10</v>
      </c>
      <c r="F1343" s="12" t="s">
        <v>2462</v>
      </c>
      <c r="G1343" s="9" t="s">
        <v>300</v>
      </c>
      <c r="H1343" s="9" t="s">
        <v>41</v>
      </c>
      <c r="I1343" s="13"/>
      <c r="J1343" s="13"/>
      <c r="K1343" s="14"/>
      <c r="L1343" s="13"/>
      <c r="M1343" s="14"/>
      <c r="N1343" s="15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</row>
    <row r="1344">
      <c r="A1344" s="9">
        <v>1342.0</v>
      </c>
      <c r="B1344" s="10">
        <v>43997.0</v>
      </c>
      <c r="C1344" s="9" t="s">
        <v>2452</v>
      </c>
      <c r="D1344" s="11" t="s">
        <v>2463</v>
      </c>
      <c r="E1344" s="9">
        <v>9.71505970482E11</v>
      </c>
      <c r="F1344" s="12" t="s">
        <v>2464</v>
      </c>
      <c r="G1344" s="9" t="s">
        <v>1823</v>
      </c>
      <c r="H1344" s="9" t="s">
        <v>13</v>
      </c>
      <c r="I1344" s="13"/>
      <c r="J1344" s="13"/>
      <c r="K1344" s="14"/>
      <c r="L1344" s="13"/>
      <c r="M1344" s="14"/>
      <c r="N1344" s="15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</row>
    <row r="1345">
      <c r="A1345" s="9">
        <v>1343.0</v>
      </c>
      <c r="B1345" s="10">
        <v>43997.0</v>
      </c>
      <c r="C1345" s="9" t="s">
        <v>2452</v>
      </c>
      <c r="D1345" s="11" t="s">
        <v>2465</v>
      </c>
      <c r="E1345" s="9">
        <v>9.71557585025E11</v>
      </c>
      <c r="F1345" s="12" t="s">
        <v>2466</v>
      </c>
      <c r="G1345" s="9" t="s">
        <v>176</v>
      </c>
      <c r="H1345" s="9" t="s">
        <v>81</v>
      </c>
      <c r="I1345" s="13"/>
      <c r="J1345" s="13"/>
      <c r="K1345" s="14"/>
      <c r="L1345" s="13"/>
      <c r="M1345" s="14"/>
      <c r="N1345" s="15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</row>
    <row r="1346">
      <c r="A1346" s="9">
        <v>1344.0</v>
      </c>
      <c r="B1346" s="10">
        <v>43997.0</v>
      </c>
      <c r="C1346" s="9" t="s">
        <v>2452</v>
      </c>
      <c r="D1346" s="11" t="s">
        <v>2467</v>
      </c>
      <c r="E1346" s="9">
        <v>9.71545580212E11</v>
      </c>
      <c r="F1346" s="12" t="s">
        <v>2468</v>
      </c>
      <c r="G1346" s="9" t="s">
        <v>432</v>
      </c>
      <c r="H1346" s="9" t="s">
        <v>260</v>
      </c>
      <c r="I1346" s="13"/>
      <c r="J1346" s="13"/>
      <c r="K1346" s="14"/>
      <c r="L1346" s="13"/>
      <c r="M1346" s="14"/>
      <c r="N1346" s="15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</row>
    <row r="1347">
      <c r="A1347" s="9">
        <v>1345.0</v>
      </c>
      <c r="B1347" s="10">
        <v>43997.0</v>
      </c>
      <c r="C1347" s="9" t="s">
        <v>2306</v>
      </c>
      <c r="D1347" s="11" t="s">
        <v>2469</v>
      </c>
      <c r="E1347" s="17">
        <f>+9660503006451</f>
        <v>9660503006451</v>
      </c>
      <c r="F1347" s="12" t="s">
        <v>2470</v>
      </c>
      <c r="G1347" s="9" t="s">
        <v>176</v>
      </c>
      <c r="H1347" s="9" t="s">
        <v>41</v>
      </c>
      <c r="I1347" s="13"/>
      <c r="J1347" s="13"/>
      <c r="K1347" s="14"/>
      <c r="L1347" s="13"/>
      <c r="M1347" s="14"/>
      <c r="N1347" s="15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</row>
    <row r="1348">
      <c r="A1348" s="9">
        <v>1346.0</v>
      </c>
      <c r="B1348" s="10">
        <v>43997.0</v>
      </c>
      <c r="C1348" s="9" t="s">
        <v>2306</v>
      </c>
      <c r="D1348" s="11" t="s">
        <v>2471</v>
      </c>
      <c r="E1348" s="17">
        <f>+971562371012</f>
        <v>971562371012</v>
      </c>
      <c r="F1348" s="12" t="s">
        <v>2472</v>
      </c>
      <c r="G1348" s="9" t="s">
        <v>176</v>
      </c>
      <c r="H1348" s="9" t="s">
        <v>41</v>
      </c>
      <c r="I1348" s="13"/>
      <c r="J1348" s="13"/>
      <c r="K1348" s="14"/>
      <c r="L1348" s="13"/>
      <c r="M1348" s="14"/>
      <c r="N1348" s="15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</row>
    <row r="1349">
      <c r="A1349" s="9">
        <v>1347.0</v>
      </c>
      <c r="B1349" s="10">
        <v>43997.0</v>
      </c>
      <c r="C1349" s="9" t="s">
        <v>2306</v>
      </c>
      <c r="D1349" s="11" t="s">
        <v>2473</v>
      </c>
      <c r="E1349" s="17">
        <f>+9660559307031</f>
        <v>9660559307031</v>
      </c>
      <c r="F1349" s="12" t="s">
        <v>2474</v>
      </c>
      <c r="G1349" s="9" t="s">
        <v>80</v>
      </c>
      <c r="H1349" s="9" t="s">
        <v>41</v>
      </c>
      <c r="I1349" s="13"/>
      <c r="J1349" s="13"/>
      <c r="K1349" s="14"/>
      <c r="L1349" s="13"/>
      <c r="M1349" s="14"/>
      <c r="N1349" s="15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</row>
    <row r="1350">
      <c r="A1350" s="9">
        <v>1348.0</v>
      </c>
      <c r="B1350" s="10">
        <v>43997.0</v>
      </c>
      <c r="C1350" s="9" t="s">
        <v>2306</v>
      </c>
      <c r="D1350" s="11" t="s">
        <v>2475</v>
      </c>
      <c r="E1350" s="17">
        <f>+971506514795</f>
        <v>971506514795</v>
      </c>
      <c r="F1350" s="12" t="s">
        <v>2476</v>
      </c>
      <c r="G1350" s="9" t="s">
        <v>12</v>
      </c>
      <c r="H1350" s="9" t="s">
        <v>17</v>
      </c>
      <c r="I1350" s="13"/>
      <c r="J1350" s="13"/>
      <c r="K1350" s="14"/>
      <c r="L1350" s="13"/>
      <c r="M1350" s="14"/>
      <c r="N1350" s="15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</row>
    <row r="1351">
      <c r="A1351" s="9">
        <v>1349.0</v>
      </c>
      <c r="B1351" s="10">
        <v>43997.0</v>
      </c>
      <c r="C1351" s="9" t="s">
        <v>2306</v>
      </c>
      <c r="D1351" s="11" t="s">
        <v>2477</v>
      </c>
      <c r="E1351" s="17">
        <f>+9710552908338</f>
        <v>9710552908338</v>
      </c>
      <c r="F1351" s="12" t="s">
        <v>2478</v>
      </c>
      <c r="G1351" s="9" t="s">
        <v>300</v>
      </c>
      <c r="H1351" s="9" t="s">
        <v>17</v>
      </c>
      <c r="I1351" s="13"/>
      <c r="J1351" s="13"/>
      <c r="K1351" s="14"/>
      <c r="L1351" s="13"/>
      <c r="M1351" s="14"/>
      <c r="N1351" s="15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</row>
    <row r="1352">
      <c r="A1352" s="9">
        <v>1350.0</v>
      </c>
      <c r="B1352" s="10">
        <v>43997.0</v>
      </c>
      <c r="C1352" s="9" t="s">
        <v>2306</v>
      </c>
      <c r="D1352" s="11" t="s">
        <v>2479</v>
      </c>
      <c r="E1352" s="17">
        <f>+9710503531365</f>
        <v>9710503531365</v>
      </c>
      <c r="F1352" s="12" t="s">
        <v>2480</v>
      </c>
      <c r="G1352" s="9" t="s">
        <v>181</v>
      </c>
      <c r="H1352" s="9" t="s">
        <v>260</v>
      </c>
      <c r="I1352" s="13"/>
      <c r="J1352" s="13"/>
      <c r="K1352" s="14"/>
      <c r="L1352" s="13"/>
      <c r="M1352" s="14"/>
      <c r="N1352" s="15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</row>
    <row r="1353">
      <c r="A1353" s="9">
        <v>1351.0</v>
      </c>
      <c r="B1353" s="10">
        <v>43996.0</v>
      </c>
      <c r="C1353" s="9" t="s">
        <v>2481</v>
      </c>
      <c r="D1353" s="11" t="s">
        <v>2463</v>
      </c>
      <c r="E1353" s="17">
        <f>+971505970482</f>
        <v>971505970482</v>
      </c>
      <c r="F1353" s="12" t="s">
        <v>2464</v>
      </c>
      <c r="G1353" s="9" t="s">
        <v>1823</v>
      </c>
      <c r="H1353" s="9" t="s">
        <v>41</v>
      </c>
      <c r="I1353" s="13"/>
      <c r="J1353" s="13"/>
      <c r="K1353" s="14"/>
      <c r="L1353" s="13"/>
      <c r="M1353" s="14"/>
      <c r="N1353" s="15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</row>
    <row r="1354">
      <c r="A1354" s="9">
        <v>1352.0</v>
      </c>
      <c r="B1354" s="10">
        <v>43996.0</v>
      </c>
      <c r="C1354" s="9" t="s">
        <v>2481</v>
      </c>
      <c r="D1354" s="11" t="s">
        <v>2467</v>
      </c>
      <c r="E1354" s="17">
        <f>+971545580212</f>
        <v>971545580212</v>
      </c>
      <c r="F1354" s="12" t="s">
        <v>2468</v>
      </c>
      <c r="G1354" s="9" t="s">
        <v>432</v>
      </c>
      <c r="H1354" s="9" t="s">
        <v>260</v>
      </c>
      <c r="I1354" s="13"/>
      <c r="J1354" s="13"/>
      <c r="K1354" s="14"/>
      <c r="L1354" s="13"/>
      <c r="M1354" s="14"/>
      <c r="N1354" s="15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</row>
    <row r="1355">
      <c r="A1355" s="9">
        <v>1353.0</v>
      </c>
      <c r="B1355" s="10">
        <v>43996.0</v>
      </c>
      <c r="C1355" s="9" t="s">
        <v>2481</v>
      </c>
      <c r="D1355" s="11" t="s">
        <v>2482</v>
      </c>
      <c r="E1355" s="17">
        <f>+9710503936847</f>
        <v>9710503936847</v>
      </c>
      <c r="F1355" s="12" t="s">
        <v>2483</v>
      </c>
      <c r="G1355" s="9" t="s">
        <v>432</v>
      </c>
      <c r="H1355" s="9" t="s">
        <v>41</v>
      </c>
      <c r="I1355" s="13"/>
      <c r="J1355" s="13"/>
      <c r="K1355" s="14"/>
      <c r="L1355" s="13"/>
      <c r="M1355" s="14"/>
      <c r="N1355" s="15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</row>
    <row r="1356">
      <c r="A1356" s="9">
        <v>1354.0</v>
      </c>
      <c r="B1356" s="10">
        <v>43996.0</v>
      </c>
      <c r="C1356" s="9" t="s">
        <v>2452</v>
      </c>
      <c r="D1356" s="11" t="s">
        <v>2484</v>
      </c>
      <c r="E1356" s="9">
        <v>9.710506745474E12</v>
      </c>
      <c r="F1356" s="12" t="s">
        <v>2485</v>
      </c>
      <c r="G1356" s="9" t="s">
        <v>149</v>
      </c>
      <c r="H1356" s="9" t="s">
        <v>13</v>
      </c>
      <c r="I1356" s="13"/>
      <c r="J1356" s="13"/>
      <c r="K1356" s="14"/>
      <c r="L1356" s="13"/>
      <c r="M1356" s="14"/>
      <c r="N1356" s="15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</row>
    <row r="1357">
      <c r="A1357" s="9">
        <v>1355.0</v>
      </c>
      <c r="B1357" s="10">
        <v>43996.0</v>
      </c>
      <c r="C1357" s="9" t="s">
        <v>2452</v>
      </c>
      <c r="D1357" s="11" t="s">
        <v>2486</v>
      </c>
      <c r="E1357" s="9">
        <v>9.71504926521E11</v>
      </c>
      <c r="F1357" s="12" t="s">
        <v>2487</v>
      </c>
      <c r="G1357" s="9" t="s">
        <v>149</v>
      </c>
      <c r="H1357" s="9" t="s">
        <v>13</v>
      </c>
      <c r="I1357" s="13"/>
      <c r="J1357" s="13"/>
      <c r="K1357" s="14"/>
      <c r="L1357" s="13"/>
      <c r="M1357" s="14"/>
      <c r="N1357" s="15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</row>
    <row r="1358">
      <c r="A1358" s="9">
        <v>1356.0</v>
      </c>
      <c r="B1358" s="10">
        <v>43996.0</v>
      </c>
      <c r="C1358" s="9" t="s">
        <v>2481</v>
      </c>
      <c r="D1358" s="11" t="s">
        <v>2488</v>
      </c>
      <c r="E1358" s="17">
        <f>+971588621279</f>
        <v>971588621279</v>
      </c>
      <c r="F1358" s="12" t="s">
        <v>2489</v>
      </c>
      <c r="G1358" s="9" t="s">
        <v>176</v>
      </c>
      <c r="H1358" s="9" t="s">
        <v>81</v>
      </c>
      <c r="I1358" s="13"/>
      <c r="J1358" s="13"/>
      <c r="K1358" s="14"/>
      <c r="L1358" s="13"/>
      <c r="M1358" s="14"/>
      <c r="N1358" s="15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</row>
    <row r="1359">
      <c r="A1359" s="9">
        <v>1357.0</v>
      </c>
      <c r="B1359" s="10">
        <v>43996.0</v>
      </c>
      <c r="C1359" s="9" t="s">
        <v>2306</v>
      </c>
      <c r="D1359" s="11" t="s">
        <v>2490</v>
      </c>
      <c r="E1359" s="17">
        <f>+966594208631</f>
        <v>966594208631</v>
      </c>
      <c r="F1359" s="12" t="s">
        <v>2491</v>
      </c>
      <c r="G1359" s="9" t="s">
        <v>40</v>
      </c>
      <c r="H1359" s="9" t="s">
        <v>41</v>
      </c>
      <c r="I1359" s="13"/>
      <c r="J1359" s="13"/>
      <c r="K1359" s="14"/>
      <c r="L1359" s="13"/>
      <c r="M1359" s="14"/>
      <c r="N1359" s="15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</row>
    <row r="1360">
      <c r="A1360" s="9">
        <v>1358.0</v>
      </c>
      <c r="B1360" s="10">
        <v>43996.0</v>
      </c>
      <c r="C1360" s="9" t="s">
        <v>2306</v>
      </c>
      <c r="D1360" s="11" t="s">
        <v>2441</v>
      </c>
      <c r="E1360" s="17">
        <f>+971547902138</f>
        <v>971547902138</v>
      </c>
      <c r="F1360" s="12" t="s">
        <v>2492</v>
      </c>
      <c r="G1360" s="9" t="s">
        <v>35</v>
      </c>
      <c r="H1360" s="9" t="s">
        <v>206</v>
      </c>
      <c r="I1360" s="13"/>
      <c r="J1360" s="13"/>
      <c r="K1360" s="14"/>
      <c r="L1360" s="13"/>
      <c r="M1360" s="14"/>
      <c r="N1360" s="15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</row>
    <row r="1361">
      <c r="A1361" s="9">
        <v>1359.0</v>
      </c>
      <c r="B1361" s="10">
        <v>43995.0</v>
      </c>
      <c r="C1361" s="9" t="s">
        <v>2481</v>
      </c>
      <c r="D1361" s="11" t="s">
        <v>2486</v>
      </c>
      <c r="E1361" s="17">
        <f>+971504926521</f>
        <v>971504926521</v>
      </c>
      <c r="F1361" s="12" t="s">
        <v>2487</v>
      </c>
      <c r="G1361" s="9" t="s">
        <v>149</v>
      </c>
      <c r="H1361" s="9" t="s">
        <v>13</v>
      </c>
      <c r="I1361" s="13"/>
      <c r="J1361" s="13"/>
      <c r="K1361" s="14"/>
      <c r="L1361" s="13"/>
      <c r="M1361" s="14"/>
      <c r="N1361" s="15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</row>
    <row r="1362">
      <c r="A1362" s="9">
        <v>1360.0</v>
      </c>
      <c r="B1362" s="10">
        <v>43995.0</v>
      </c>
      <c r="C1362" s="9" t="s">
        <v>2321</v>
      </c>
      <c r="D1362" s="11" t="s">
        <v>2493</v>
      </c>
      <c r="E1362" s="17">
        <f>+96555000675</f>
        <v>96555000675</v>
      </c>
      <c r="F1362" s="12" t="s">
        <v>2494</v>
      </c>
      <c r="G1362" s="9" t="s">
        <v>80</v>
      </c>
      <c r="H1362" s="9" t="s">
        <v>41</v>
      </c>
      <c r="I1362" s="13"/>
      <c r="J1362" s="13"/>
      <c r="K1362" s="14"/>
      <c r="L1362" s="13"/>
      <c r="M1362" s="14"/>
      <c r="N1362" s="15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</row>
    <row r="1363">
      <c r="A1363" s="9">
        <v>1361.0</v>
      </c>
      <c r="B1363" s="10">
        <v>43995.0</v>
      </c>
      <c r="C1363" s="9" t="s">
        <v>2321</v>
      </c>
      <c r="D1363" s="11" t="s">
        <v>2495</v>
      </c>
      <c r="E1363" s="17">
        <f>+971507082296</f>
        <v>971507082296</v>
      </c>
      <c r="F1363" s="12" t="s">
        <v>2496</v>
      </c>
      <c r="G1363" s="9" t="s">
        <v>432</v>
      </c>
      <c r="H1363" s="9" t="s">
        <v>337</v>
      </c>
      <c r="I1363" s="13"/>
      <c r="J1363" s="13"/>
      <c r="K1363" s="14"/>
      <c r="L1363" s="13"/>
      <c r="M1363" s="14"/>
      <c r="N1363" s="15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</row>
    <row r="1364">
      <c r="A1364" s="9">
        <v>1362.0</v>
      </c>
      <c r="B1364" s="10">
        <v>43995.0</v>
      </c>
      <c r="C1364" s="9" t="s">
        <v>2321</v>
      </c>
      <c r="D1364" s="11" t="s">
        <v>2497</v>
      </c>
      <c r="E1364" s="17">
        <f>+971559337506</f>
        <v>971559337506</v>
      </c>
      <c r="F1364" s="12" t="s">
        <v>2498</v>
      </c>
      <c r="G1364" s="9" t="s">
        <v>176</v>
      </c>
      <c r="H1364" s="9" t="s">
        <v>21</v>
      </c>
      <c r="I1364" s="13"/>
      <c r="J1364" s="13"/>
      <c r="K1364" s="14"/>
      <c r="L1364" s="13"/>
      <c r="M1364" s="14"/>
      <c r="N1364" s="15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</row>
    <row r="1365">
      <c r="A1365" s="9">
        <v>1363.0</v>
      </c>
      <c r="B1365" s="10">
        <v>43993.0</v>
      </c>
      <c r="C1365" s="9" t="s">
        <v>2321</v>
      </c>
      <c r="D1365" s="11" t="s">
        <v>2499</v>
      </c>
      <c r="E1365" s="17">
        <f>+971558848052</f>
        <v>971558848052</v>
      </c>
      <c r="F1365" s="12" t="s">
        <v>2500</v>
      </c>
      <c r="G1365" s="9" t="s">
        <v>627</v>
      </c>
      <c r="H1365" s="9" t="s">
        <v>17</v>
      </c>
      <c r="I1365" s="13"/>
      <c r="J1365" s="13"/>
      <c r="K1365" s="14"/>
      <c r="L1365" s="13"/>
      <c r="M1365" s="14"/>
      <c r="N1365" s="15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</row>
    <row r="1366">
      <c r="A1366" s="9">
        <v>1364.0</v>
      </c>
      <c r="B1366" s="10">
        <v>43993.0</v>
      </c>
      <c r="C1366" s="9" t="s">
        <v>2321</v>
      </c>
      <c r="D1366" s="11" t="s">
        <v>2501</v>
      </c>
      <c r="E1366" s="17">
        <f>+9660505508727</f>
        <v>9660505508727</v>
      </c>
      <c r="F1366" s="12" t="s">
        <v>2502</v>
      </c>
      <c r="G1366" s="9" t="s">
        <v>190</v>
      </c>
      <c r="H1366" s="9" t="s">
        <v>13</v>
      </c>
      <c r="I1366" s="13"/>
      <c r="J1366" s="13"/>
      <c r="K1366" s="14"/>
      <c r="L1366" s="13"/>
      <c r="M1366" s="14"/>
      <c r="N1366" s="15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</row>
    <row r="1367">
      <c r="A1367" s="9">
        <v>1365.0</v>
      </c>
      <c r="B1367" s="10">
        <v>43993.0</v>
      </c>
      <c r="C1367" s="9" t="s">
        <v>2321</v>
      </c>
      <c r="D1367" s="11" t="s">
        <v>2503</v>
      </c>
      <c r="E1367" s="17">
        <f>+966549555521</f>
        <v>966549555521</v>
      </c>
      <c r="F1367" s="12" t="s">
        <v>2504</v>
      </c>
      <c r="G1367" s="9" t="s">
        <v>80</v>
      </c>
      <c r="H1367" s="9" t="s">
        <v>17</v>
      </c>
      <c r="I1367" s="13"/>
      <c r="J1367" s="13"/>
      <c r="K1367" s="14"/>
      <c r="L1367" s="13"/>
      <c r="M1367" s="14"/>
      <c r="N1367" s="15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</row>
    <row r="1368">
      <c r="A1368" s="9">
        <v>1366.0</v>
      </c>
      <c r="B1368" s="18">
        <v>43993.0</v>
      </c>
      <c r="C1368" s="19" t="s">
        <v>2321</v>
      </c>
      <c r="D1368" s="11" t="s">
        <v>2505</v>
      </c>
      <c r="E1368" s="24">
        <f>+201001534875</f>
        <v>201001534875</v>
      </c>
      <c r="F1368" s="12" t="s">
        <v>2506</v>
      </c>
      <c r="G1368" s="19" t="s">
        <v>52</v>
      </c>
      <c r="H1368" s="19" t="s">
        <v>260</v>
      </c>
      <c r="I1368" s="13"/>
      <c r="J1368" s="13"/>
      <c r="K1368" s="20"/>
      <c r="L1368" s="13"/>
      <c r="M1368" s="20"/>
      <c r="N1368" s="21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</row>
    <row r="1369">
      <c r="A1369" s="9">
        <v>1367.0</v>
      </c>
      <c r="B1369" s="10">
        <v>43993.0</v>
      </c>
      <c r="C1369" s="9" t="s">
        <v>2507</v>
      </c>
      <c r="D1369" s="11" t="s">
        <v>2508</v>
      </c>
      <c r="E1369" s="17">
        <f>+966591143002</f>
        <v>966591143002</v>
      </c>
      <c r="F1369" s="12" t="s">
        <v>2509</v>
      </c>
      <c r="G1369" s="9" t="s">
        <v>16</v>
      </c>
      <c r="H1369" s="9" t="s">
        <v>17</v>
      </c>
      <c r="I1369" s="13"/>
      <c r="J1369" s="13"/>
      <c r="K1369" s="27"/>
      <c r="L1369" s="13"/>
      <c r="M1369" s="14"/>
      <c r="N1369" s="15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</row>
    <row r="1370">
      <c r="A1370" s="9">
        <v>1368.0</v>
      </c>
      <c r="B1370" s="29"/>
      <c r="C1370" s="29"/>
      <c r="D1370" s="30"/>
      <c r="E1370" s="29"/>
      <c r="F1370" s="29"/>
      <c r="G1370" s="29"/>
      <c r="H1370" s="29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</row>
    <row r="1371">
      <c r="A1371" s="9">
        <v>1369.0</v>
      </c>
      <c r="B1371" s="31">
        <v>43993.0</v>
      </c>
      <c r="C1371" s="32" t="s">
        <v>2306</v>
      </c>
      <c r="D1371" s="11" t="s">
        <v>2510</v>
      </c>
      <c r="E1371" s="33">
        <f>+971502337171</f>
        <v>971502337171</v>
      </c>
      <c r="F1371" s="34" t="s">
        <v>2511</v>
      </c>
      <c r="G1371" s="32" t="s">
        <v>300</v>
      </c>
      <c r="H1371" s="32" t="s">
        <v>41</v>
      </c>
      <c r="I1371" s="13"/>
      <c r="J1371" s="13"/>
      <c r="K1371" s="14"/>
      <c r="L1371" s="13"/>
      <c r="M1371" s="14"/>
      <c r="N1371" s="15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</row>
    <row r="1372">
      <c r="A1372" s="9">
        <v>1370.0</v>
      </c>
      <c r="B1372" s="31">
        <v>43993.0</v>
      </c>
      <c r="C1372" s="32" t="s">
        <v>2306</v>
      </c>
      <c r="D1372" s="11" t="s">
        <v>2512</v>
      </c>
      <c r="E1372" s="33">
        <f>+971551111325</f>
        <v>971551111325</v>
      </c>
      <c r="F1372" s="34" t="s">
        <v>2513</v>
      </c>
      <c r="G1372" s="32" t="s">
        <v>20</v>
      </c>
      <c r="H1372" s="32" t="s">
        <v>81</v>
      </c>
      <c r="I1372" s="13"/>
      <c r="J1372" s="13"/>
      <c r="K1372" s="14"/>
      <c r="L1372" s="13"/>
      <c r="M1372" s="14"/>
      <c r="N1372" s="15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</row>
    <row r="1373">
      <c r="A1373" s="9">
        <v>1371.0</v>
      </c>
      <c r="B1373" s="31">
        <v>43992.0</v>
      </c>
      <c r="C1373" s="32" t="s">
        <v>1510</v>
      </c>
      <c r="D1373" s="11" t="s">
        <v>2514</v>
      </c>
      <c r="E1373" s="33">
        <f>+971506517886</f>
        <v>971506517886</v>
      </c>
      <c r="F1373" s="34" t="s">
        <v>2515</v>
      </c>
      <c r="G1373" s="32" t="s">
        <v>2516</v>
      </c>
      <c r="H1373" s="32" t="s">
        <v>13</v>
      </c>
      <c r="I1373" s="13"/>
      <c r="J1373" s="13"/>
      <c r="K1373" s="27"/>
      <c r="L1373" s="13"/>
      <c r="M1373" s="14"/>
      <c r="N1373" s="15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</row>
    <row r="1374">
      <c r="A1374" s="9">
        <v>1372.0</v>
      </c>
      <c r="B1374" s="31">
        <v>43992.0</v>
      </c>
      <c r="C1374" s="32" t="s">
        <v>2321</v>
      </c>
      <c r="D1374" s="11" t="s">
        <v>2517</v>
      </c>
      <c r="E1374" s="33">
        <f>+9710502533715</f>
        <v>9710502533715</v>
      </c>
      <c r="F1374" s="34" t="s">
        <v>2518</v>
      </c>
      <c r="G1374" s="32" t="s">
        <v>176</v>
      </c>
      <c r="H1374" s="32" t="s">
        <v>73</v>
      </c>
      <c r="I1374" s="13"/>
      <c r="J1374" s="13"/>
      <c r="K1374" s="14"/>
      <c r="L1374" s="13"/>
      <c r="M1374" s="14"/>
      <c r="N1374" s="15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</row>
    <row r="1375">
      <c r="A1375" s="9">
        <v>1373.0</v>
      </c>
      <c r="B1375" s="31">
        <v>43992.0</v>
      </c>
      <c r="C1375" s="32" t="s">
        <v>2321</v>
      </c>
      <c r="D1375" s="11" t="s">
        <v>2519</v>
      </c>
      <c r="E1375" s="32">
        <v>5.01116937E8</v>
      </c>
      <c r="F1375" s="34" t="s">
        <v>2520</v>
      </c>
      <c r="G1375" s="32" t="s">
        <v>300</v>
      </c>
      <c r="H1375" s="32" t="s">
        <v>17</v>
      </c>
      <c r="I1375" s="13"/>
      <c r="J1375" s="13"/>
      <c r="K1375" s="14"/>
      <c r="L1375" s="13"/>
      <c r="M1375" s="14"/>
      <c r="N1375" s="15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</row>
    <row r="1376">
      <c r="A1376" s="9">
        <v>1374.0</v>
      </c>
      <c r="B1376" s="31">
        <v>43992.0</v>
      </c>
      <c r="C1376" s="32" t="s">
        <v>2306</v>
      </c>
      <c r="D1376" s="11" t="s">
        <v>2521</v>
      </c>
      <c r="E1376" s="33">
        <f>+25771952733</f>
        <v>25771952733</v>
      </c>
      <c r="F1376" s="34" t="s">
        <v>2522</v>
      </c>
      <c r="G1376" s="32" t="s">
        <v>20</v>
      </c>
      <c r="H1376" s="32" t="s">
        <v>41</v>
      </c>
      <c r="I1376" s="13"/>
      <c r="J1376" s="13"/>
      <c r="K1376" s="14"/>
      <c r="L1376" s="13"/>
      <c r="M1376" s="14"/>
      <c r="N1376" s="15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</row>
    <row r="1377">
      <c r="A1377" s="9">
        <v>1375.0</v>
      </c>
      <c r="B1377" s="31">
        <v>43992.0</v>
      </c>
      <c r="C1377" s="32" t="s">
        <v>2306</v>
      </c>
      <c r="D1377" s="11" t="s">
        <v>2523</v>
      </c>
      <c r="E1377" s="33">
        <f>+971562649963</f>
        <v>971562649963</v>
      </c>
      <c r="F1377" s="34" t="s">
        <v>2524</v>
      </c>
      <c r="G1377" s="32" t="s">
        <v>12</v>
      </c>
      <c r="H1377" s="32" t="s">
        <v>260</v>
      </c>
      <c r="I1377" s="13"/>
      <c r="J1377" s="13"/>
      <c r="K1377" s="14"/>
      <c r="L1377" s="13"/>
      <c r="M1377" s="14"/>
      <c r="N1377" s="15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</row>
    <row r="1378">
      <c r="A1378" s="9">
        <v>1376.0</v>
      </c>
      <c r="B1378" s="31">
        <v>43991.0</v>
      </c>
      <c r="C1378" s="32" t="s">
        <v>2306</v>
      </c>
      <c r="D1378" s="11" t="s">
        <v>2525</v>
      </c>
      <c r="E1378" s="33">
        <f>+966504683753</f>
        <v>966504683753</v>
      </c>
      <c r="F1378" s="34" t="s">
        <v>2526</v>
      </c>
      <c r="G1378" s="32" t="s">
        <v>176</v>
      </c>
      <c r="H1378" s="32" t="s">
        <v>41</v>
      </c>
      <c r="I1378" s="13"/>
      <c r="J1378" s="13"/>
      <c r="K1378" s="14"/>
      <c r="L1378" s="13"/>
      <c r="M1378" s="14"/>
      <c r="N1378" s="15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</row>
    <row r="1379">
      <c r="A1379" s="9">
        <v>1377.0</v>
      </c>
      <c r="B1379" s="31">
        <v>43991.0</v>
      </c>
      <c r="C1379" s="32" t="s">
        <v>2306</v>
      </c>
      <c r="D1379" s="11" t="s">
        <v>2527</v>
      </c>
      <c r="E1379" s="33">
        <f>+9108809840023</f>
        <v>9108809840023</v>
      </c>
      <c r="F1379" s="34" t="s">
        <v>2528</v>
      </c>
      <c r="G1379" s="32" t="s">
        <v>80</v>
      </c>
      <c r="H1379" s="32" t="s">
        <v>41</v>
      </c>
      <c r="I1379" s="13"/>
      <c r="J1379" s="13"/>
      <c r="K1379" s="14"/>
      <c r="L1379" s="13"/>
      <c r="M1379" s="14"/>
      <c r="N1379" s="15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</row>
    <row r="1380">
      <c r="A1380" s="9">
        <v>1378.0</v>
      </c>
      <c r="B1380" s="31">
        <v>43990.0</v>
      </c>
      <c r="C1380" s="32" t="s">
        <v>2452</v>
      </c>
      <c r="D1380" s="11" t="s">
        <v>2529</v>
      </c>
      <c r="E1380" s="32">
        <v>9.710526044554E12</v>
      </c>
      <c r="F1380" s="34" t="s">
        <v>2530</v>
      </c>
      <c r="G1380" s="32" t="s">
        <v>134</v>
      </c>
      <c r="H1380" s="32" t="s">
        <v>17</v>
      </c>
      <c r="I1380" s="13"/>
      <c r="J1380" s="13"/>
      <c r="K1380" s="14"/>
      <c r="L1380" s="13"/>
      <c r="M1380" s="14"/>
      <c r="N1380" s="15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</row>
    <row r="1381">
      <c r="A1381" s="9">
        <v>1379.0</v>
      </c>
      <c r="B1381" s="31">
        <v>43990.0</v>
      </c>
      <c r="C1381" s="32" t="s">
        <v>2321</v>
      </c>
      <c r="D1381" s="11" t="s">
        <v>2531</v>
      </c>
      <c r="E1381" s="33">
        <f>+966551061026</f>
        <v>966551061026</v>
      </c>
      <c r="F1381" s="34" t="s">
        <v>2532</v>
      </c>
      <c r="G1381" s="32" t="s">
        <v>190</v>
      </c>
      <c r="H1381" s="32" t="s">
        <v>13</v>
      </c>
      <c r="I1381" s="13"/>
      <c r="J1381" s="13"/>
      <c r="K1381" s="14"/>
      <c r="L1381" s="13"/>
      <c r="M1381" s="14"/>
      <c r="N1381" s="15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</row>
    <row r="1382">
      <c r="A1382" s="9">
        <v>1380.0</v>
      </c>
      <c r="B1382" s="31">
        <v>43990.0</v>
      </c>
      <c r="C1382" s="32" t="s">
        <v>2306</v>
      </c>
      <c r="D1382" s="11" t="s">
        <v>2533</v>
      </c>
      <c r="E1382" s="33">
        <f>+971556031695</f>
        <v>971556031695</v>
      </c>
      <c r="F1382" s="34" t="s">
        <v>2534</v>
      </c>
      <c r="G1382" s="32" t="s">
        <v>176</v>
      </c>
      <c r="H1382" s="32" t="s">
        <v>260</v>
      </c>
      <c r="I1382" s="13"/>
      <c r="J1382" s="13"/>
      <c r="K1382" s="14"/>
      <c r="L1382" s="13"/>
      <c r="M1382" s="14"/>
      <c r="N1382" s="15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</row>
    <row r="1383">
      <c r="A1383" s="9">
        <v>1381.0</v>
      </c>
      <c r="B1383" s="31">
        <v>43989.0</v>
      </c>
      <c r="C1383" s="32" t="s">
        <v>2481</v>
      </c>
      <c r="D1383" s="11" t="s">
        <v>2529</v>
      </c>
      <c r="E1383" s="33">
        <f>+9710526044554</f>
        <v>9710526044554</v>
      </c>
      <c r="F1383" s="34" t="s">
        <v>2530</v>
      </c>
      <c r="G1383" s="32" t="s">
        <v>134</v>
      </c>
      <c r="H1383" s="32" t="s">
        <v>206</v>
      </c>
      <c r="I1383" s="13"/>
      <c r="J1383" s="13"/>
      <c r="K1383" s="14"/>
      <c r="L1383" s="13"/>
      <c r="M1383" s="14"/>
      <c r="N1383" s="15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</row>
    <row r="1384">
      <c r="A1384" s="9">
        <v>1382.0</v>
      </c>
      <c r="B1384" s="31">
        <v>43989.0</v>
      </c>
      <c r="C1384" s="32" t="s">
        <v>2452</v>
      </c>
      <c r="D1384" s="11" t="s">
        <v>2535</v>
      </c>
      <c r="E1384" s="32">
        <v>9.7155103763E11</v>
      </c>
      <c r="F1384" s="34" t="s">
        <v>2536</v>
      </c>
      <c r="G1384" s="32" t="s">
        <v>190</v>
      </c>
      <c r="H1384" s="32" t="s">
        <v>41</v>
      </c>
      <c r="I1384" s="13"/>
      <c r="J1384" s="13"/>
      <c r="K1384" s="14"/>
      <c r="L1384" s="13"/>
      <c r="M1384" s="14"/>
      <c r="N1384" s="15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</row>
    <row r="1385">
      <c r="A1385" s="9">
        <v>1383.0</v>
      </c>
      <c r="B1385" s="31">
        <v>43989.0</v>
      </c>
      <c r="C1385" s="32" t="s">
        <v>2537</v>
      </c>
      <c r="D1385" s="11" t="s">
        <v>2538</v>
      </c>
      <c r="E1385" s="33">
        <f>+9660551441444</f>
        <v>9660551441444</v>
      </c>
      <c r="F1385" s="34" t="s">
        <v>2539</v>
      </c>
      <c r="G1385" s="32" t="s">
        <v>181</v>
      </c>
      <c r="H1385" s="32" t="s">
        <v>17</v>
      </c>
      <c r="I1385" s="13"/>
      <c r="J1385" s="13"/>
      <c r="K1385" s="35"/>
      <c r="L1385" s="13"/>
      <c r="M1385" s="14"/>
      <c r="N1385" s="15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</row>
    <row r="1386">
      <c r="A1386" s="9">
        <v>1384.0</v>
      </c>
      <c r="B1386" s="31">
        <v>43989.0</v>
      </c>
      <c r="C1386" s="32" t="s">
        <v>2306</v>
      </c>
      <c r="D1386" s="11" t="s">
        <v>2540</v>
      </c>
      <c r="E1386" s="33">
        <f>+96565815251</f>
        <v>96565815251</v>
      </c>
      <c r="F1386" s="34" t="s">
        <v>2541</v>
      </c>
      <c r="G1386" s="32" t="s">
        <v>12</v>
      </c>
      <c r="H1386" s="32" t="s">
        <v>17</v>
      </c>
      <c r="I1386" s="13"/>
      <c r="J1386" s="13"/>
      <c r="K1386" s="14"/>
      <c r="L1386" s="13"/>
      <c r="M1386" s="14"/>
      <c r="N1386" s="15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</row>
    <row r="1387">
      <c r="A1387" s="9">
        <v>1385.0</v>
      </c>
      <c r="B1387" s="31">
        <v>43988.0</v>
      </c>
      <c r="C1387" s="32" t="s">
        <v>2481</v>
      </c>
      <c r="D1387" s="11" t="s">
        <v>2535</v>
      </c>
      <c r="E1387" s="33">
        <f>+971551037630</f>
        <v>971551037630</v>
      </c>
      <c r="F1387" s="34" t="s">
        <v>2536</v>
      </c>
      <c r="G1387" s="32" t="s">
        <v>190</v>
      </c>
      <c r="H1387" s="32" t="s">
        <v>13</v>
      </c>
      <c r="I1387" s="13"/>
      <c r="J1387" s="13"/>
      <c r="K1387" s="14"/>
      <c r="L1387" s="13"/>
      <c r="M1387" s="14"/>
      <c r="N1387" s="15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</row>
    <row r="1388">
      <c r="A1388" s="9">
        <v>1386.0</v>
      </c>
      <c r="B1388" s="31">
        <v>43988.0</v>
      </c>
      <c r="C1388" s="32" t="s">
        <v>2306</v>
      </c>
      <c r="D1388" s="11" t="s">
        <v>2542</v>
      </c>
      <c r="E1388" s="33">
        <f>+966545035000</f>
        <v>966545035000</v>
      </c>
      <c r="F1388" s="34" t="s">
        <v>2543</v>
      </c>
      <c r="G1388" s="32" t="s">
        <v>176</v>
      </c>
      <c r="H1388" s="32" t="s">
        <v>41</v>
      </c>
      <c r="I1388" s="13"/>
      <c r="J1388" s="13"/>
      <c r="K1388" s="14"/>
      <c r="L1388" s="13"/>
      <c r="M1388" s="14"/>
      <c r="N1388" s="15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</row>
    <row r="1389">
      <c r="A1389" s="9">
        <v>1387.0</v>
      </c>
      <c r="B1389" s="31">
        <v>43988.0</v>
      </c>
      <c r="C1389" s="32" t="s">
        <v>2306</v>
      </c>
      <c r="D1389" s="11" t="s">
        <v>2544</v>
      </c>
      <c r="E1389" s="33">
        <f>+9710505615168</f>
        <v>9710505615168</v>
      </c>
      <c r="F1389" s="34" t="s">
        <v>2545</v>
      </c>
      <c r="G1389" s="32" t="s">
        <v>80</v>
      </c>
      <c r="H1389" s="32" t="s">
        <v>81</v>
      </c>
      <c r="I1389" s="13"/>
      <c r="J1389" s="13"/>
      <c r="K1389" s="14"/>
      <c r="L1389" s="13"/>
      <c r="M1389" s="14"/>
      <c r="N1389" s="15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</row>
    <row r="1390">
      <c r="A1390" s="9">
        <v>1388.0</v>
      </c>
      <c r="B1390" s="31">
        <v>43988.0</v>
      </c>
      <c r="C1390" s="32" t="s">
        <v>2306</v>
      </c>
      <c r="D1390" s="11" t="s">
        <v>2546</v>
      </c>
      <c r="E1390" s="33">
        <f>+971529999765</f>
        <v>971529999765</v>
      </c>
      <c r="F1390" s="34" t="s">
        <v>2547</v>
      </c>
      <c r="G1390" s="32" t="s">
        <v>35</v>
      </c>
      <c r="H1390" s="32" t="s">
        <v>206</v>
      </c>
      <c r="I1390" s="13"/>
      <c r="J1390" s="13"/>
      <c r="K1390" s="14"/>
      <c r="L1390" s="13"/>
      <c r="M1390" s="14"/>
      <c r="N1390" s="15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</row>
    <row r="1391">
      <c r="A1391" s="9">
        <v>1389.0</v>
      </c>
      <c r="B1391" s="31">
        <v>43988.0</v>
      </c>
      <c r="C1391" s="32" t="s">
        <v>2321</v>
      </c>
      <c r="D1391" s="11" t="s">
        <v>2548</v>
      </c>
      <c r="E1391" s="33">
        <f>+971569498848</f>
        <v>971569498848</v>
      </c>
      <c r="F1391" s="34" t="s">
        <v>2549</v>
      </c>
      <c r="G1391" s="32" t="s">
        <v>176</v>
      </c>
      <c r="H1391" s="32" t="s">
        <v>81</v>
      </c>
      <c r="I1391" s="13"/>
      <c r="J1391" s="13"/>
      <c r="K1391" s="14"/>
      <c r="L1391" s="13"/>
      <c r="M1391" s="14"/>
      <c r="N1391" s="15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</row>
    <row r="1392">
      <c r="A1392" s="9">
        <v>1390.0</v>
      </c>
      <c r="B1392" s="31">
        <v>43988.0</v>
      </c>
      <c r="C1392" s="32" t="s">
        <v>2306</v>
      </c>
      <c r="D1392" s="11" t="s">
        <v>2550</v>
      </c>
      <c r="E1392" s="33">
        <f>+9660501911444</f>
        <v>9660501911444</v>
      </c>
      <c r="F1392" s="34" t="s">
        <v>2551</v>
      </c>
      <c r="G1392" s="32" t="s">
        <v>176</v>
      </c>
      <c r="H1392" s="32" t="s">
        <v>81</v>
      </c>
      <c r="I1392" s="13"/>
      <c r="J1392" s="13"/>
      <c r="K1392" s="14"/>
      <c r="L1392" s="13"/>
      <c r="M1392" s="14"/>
      <c r="N1392" s="15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</row>
    <row r="1393">
      <c r="A1393" s="9">
        <v>1391.0</v>
      </c>
      <c r="B1393" s="31">
        <v>43988.0</v>
      </c>
      <c r="C1393" s="32" t="s">
        <v>2306</v>
      </c>
      <c r="D1393" s="11" t="s">
        <v>2552</v>
      </c>
      <c r="E1393" s="33">
        <f>+12406453050</f>
        <v>12406453050</v>
      </c>
      <c r="F1393" s="34" t="s">
        <v>2553</v>
      </c>
      <c r="G1393" s="32" t="s">
        <v>176</v>
      </c>
      <c r="H1393" s="32" t="s">
        <v>41</v>
      </c>
      <c r="I1393" s="13"/>
      <c r="J1393" s="13"/>
      <c r="K1393" s="14"/>
      <c r="L1393" s="13"/>
      <c r="M1393" s="14"/>
      <c r="N1393" s="15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</row>
    <row r="1394">
      <c r="A1394" s="9">
        <v>1392.0</v>
      </c>
      <c r="B1394" s="31">
        <v>43987.0</v>
      </c>
      <c r="C1394" s="32" t="s">
        <v>420</v>
      </c>
      <c r="D1394" s="11" t="s">
        <v>2554</v>
      </c>
      <c r="E1394" s="33">
        <f>+966504486500</f>
        <v>966504486500</v>
      </c>
      <c r="F1394" s="34" t="s">
        <v>2555</v>
      </c>
      <c r="G1394" s="32" t="s">
        <v>40</v>
      </c>
      <c r="H1394" s="32" t="s">
        <v>17</v>
      </c>
      <c r="I1394" s="13"/>
      <c r="J1394" s="13"/>
      <c r="K1394" s="27"/>
      <c r="L1394" s="13"/>
      <c r="M1394" s="14"/>
      <c r="N1394" s="15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</row>
    <row r="1395">
      <c r="A1395" s="9">
        <v>1393.0</v>
      </c>
      <c r="B1395" s="31">
        <v>43987.0</v>
      </c>
      <c r="C1395" s="32" t="s">
        <v>2306</v>
      </c>
      <c r="D1395" s="11" t="s">
        <v>2556</v>
      </c>
      <c r="E1395" s="33">
        <f>+971547603098</f>
        <v>971547603098</v>
      </c>
      <c r="F1395" s="34" t="s">
        <v>2557</v>
      </c>
      <c r="G1395" s="32" t="s">
        <v>12</v>
      </c>
      <c r="H1395" s="32" t="s">
        <v>17</v>
      </c>
      <c r="I1395" s="13"/>
      <c r="J1395" s="13"/>
      <c r="K1395" s="14"/>
      <c r="L1395" s="13"/>
      <c r="M1395" s="14"/>
      <c r="N1395" s="15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</row>
    <row r="1396">
      <c r="A1396" s="9">
        <v>1394.0</v>
      </c>
      <c r="B1396" s="31">
        <v>43987.0</v>
      </c>
      <c r="C1396" s="32" t="s">
        <v>2306</v>
      </c>
      <c r="D1396" s="11" t="s">
        <v>2558</v>
      </c>
      <c r="E1396" s="33">
        <f>+971555142822</f>
        <v>971555142822</v>
      </c>
      <c r="F1396" s="34" t="s">
        <v>2559</v>
      </c>
      <c r="G1396" s="32" t="s">
        <v>300</v>
      </c>
      <c r="H1396" s="32" t="s">
        <v>17</v>
      </c>
      <c r="I1396" s="13"/>
      <c r="J1396" s="13"/>
      <c r="K1396" s="14"/>
      <c r="L1396" s="13"/>
      <c r="M1396" s="14"/>
      <c r="N1396" s="15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</row>
    <row r="1397">
      <c r="A1397" s="9">
        <v>1395.0</v>
      </c>
      <c r="B1397" s="31">
        <v>43987.0</v>
      </c>
      <c r="C1397" s="32" t="s">
        <v>2306</v>
      </c>
      <c r="D1397" s="11" t="s">
        <v>2560</v>
      </c>
      <c r="E1397" s="33">
        <f>+923328408800</f>
        <v>923328408800</v>
      </c>
      <c r="F1397" s="34" t="s">
        <v>2561</v>
      </c>
      <c r="G1397" s="32" t="s">
        <v>300</v>
      </c>
      <c r="H1397" s="32" t="s">
        <v>41</v>
      </c>
      <c r="I1397" s="13"/>
      <c r="J1397" s="13"/>
      <c r="K1397" s="14"/>
      <c r="L1397" s="13"/>
      <c r="M1397" s="14"/>
      <c r="N1397" s="15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</row>
    <row r="1398">
      <c r="A1398" s="9">
        <v>1396.0</v>
      </c>
      <c r="B1398" s="31">
        <v>43987.0</v>
      </c>
      <c r="C1398" s="32" t="s">
        <v>2321</v>
      </c>
      <c r="D1398" s="11" t="s">
        <v>2562</v>
      </c>
      <c r="E1398" s="33">
        <f>+96597266852</f>
        <v>96597266852</v>
      </c>
      <c r="F1398" s="34" t="s">
        <v>2563</v>
      </c>
      <c r="G1398" s="32" t="s">
        <v>190</v>
      </c>
      <c r="H1398" s="32" t="s">
        <v>260</v>
      </c>
      <c r="I1398" s="13"/>
      <c r="J1398" s="13"/>
      <c r="K1398" s="14"/>
      <c r="L1398" s="13"/>
      <c r="M1398" s="14"/>
      <c r="N1398" s="15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</row>
    <row r="1399">
      <c r="A1399" s="9">
        <v>1397.0</v>
      </c>
      <c r="B1399" s="31">
        <v>43987.0</v>
      </c>
      <c r="C1399" s="32" t="s">
        <v>2306</v>
      </c>
      <c r="D1399" s="16" t="s">
        <v>2564</v>
      </c>
      <c r="E1399" s="33">
        <f>+966545660005</f>
        <v>966545660005</v>
      </c>
      <c r="F1399" s="34" t="s">
        <v>2565</v>
      </c>
      <c r="G1399" s="32" t="s">
        <v>12</v>
      </c>
      <c r="H1399" s="32" t="s">
        <v>41</v>
      </c>
      <c r="I1399" s="13"/>
      <c r="J1399" s="13"/>
      <c r="K1399" s="14"/>
      <c r="L1399" s="13"/>
      <c r="M1399" s="22"/>
      <c r="N1399" s="15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</row>
    <row r="1400">
      <c r="A1400" s="9">
        <v>1398.0</v>
      </c>
      <c r="B1400" s="31">
        <v>43987.0</v>
      </c>
      <c r="C1400" s="32" t="s">
        <v>2306</v>
      </c>
      <c r="D1400" s="11" t="s">
        <v>2566</v>
      </c>
      <c r="E1400" s="33">
        <f>+9710523744442</f>
        <v>9710523744442</v>
      </c>
      <c r="F1400" s="34" t="s">
        <v>2567</v>
      </c>
      <c r="G1400" s="32" t="s">
        <v>52</v>
      </c>
      <c r="H1400" s="32" t="s">
        <v>41</v>
      </c>
      <c r="I1400" s="13"/>
      <c r="J1400" s="13"/>
      <c r="K1400" s="14"/>
      <c r="L1400" s="13"/>
      <c r="M1400" s="14"/>
      <c r="N1400" s="15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</row>
    <row r="1401">
      <c r="A1401" s="9">
        <v>1399.0</v>
      </c>
      <c r="B1401" s="31">
        <v>43986.0</v>
      </c>
      <c r="C1401" s="32" t="s">
        <v>2306</v>
      </c>
      <c r="D1401" s="11" t="s">
        <v>2568</v>
      </c>
      <c r="E1401" s="33">
        <f>+966557713929</f>
        <v>966557713929</v>
      </c>
      <c r="F1401" s="34" t="s">
        <v>2569</v>
      </c>
      <c r="G1401" s="32" t="s">
        <v>176</v>
      </c>
      <c r="H1401" s="32" t="s">
        <v>41</v>
      </c>
      <c r="I1401" s="13"/>
      <c r="J1401" s="13"/>
      <c r="K1401" s="14"/>
      <c r="L1401" s="13"/>
      <c r="M1401" s="14"/>
      <c r="N1401" s="15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</row>
    <row r="1402">
      <c r="A1402" s="9">
        <v>1400.0</v>
      </c>
      <c r="B1402" s="31">
        <v>43986.0</v>
      </c>
      <c r="C1402" s="32" t="s">
        <v>2452</v>
      </c>
      <c r="D1402" s="11" t="s">
        <v>2570</v>
      </c>
      <c r="E1402" s="32">
        <v>9.71527938718E11</v>
      </c>
      <c r="F1402" s="34" t="s">
        <v>2571</v>
      </c>
      <c r="G1402" s="32" t="s">
        <v>80</v>
      </c>
      <c r="H1402" s="32" t="s">
        <v>41</v>
      </c>
      <c r="I1402" s="13"/>
      <c r="J1402" s="13"/>
      <c r="K1402" s="14"/>
      <c r="L1402" s="13"/>
      <c r="M1402" s="14"/>
      <c r="N1402" s="15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</row>
    <row r="1403">
      <c r="A1403" s="9">
        <v>1401.0</v>
      </c>
      <c r="B1403" s="31">
        <v>43986.0</v>
      </c>
      <c r="C1403" s="32" t="s">
        <v>2452</v>
      </c>
      <c r="D1403" s="11" t="s">
        <v>2572</v>
      </c>
      <c r="E1403" s="32">
        <v>9.7155954621E11</v>
      </c>
      <c r="F1403" s="34" t="s">
        <v>2573</v>
      </c>
      <c r="G1403" s="32" t="s">
        <v>300</v>
      </c>
      <c r="H1403" s="32" t="s">
        <v>260</v>
      </c>
      <c r="I1403" s="13"/>
      <c r="J1403" s="13"/>
      <c r="K1403" s="14"/>
      <c r="L1403" s="13"/>
      <c r="M1403" s="14"/>
      <c r="N1403" s="15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</row>
    <row r="1404">
      <c r="A1404" s="9">
        <v>1402.0</v>
      </c>
      <c r="B1404" s="31">
        <v>43986.0</v>
      </c>
      <c r="C1404" s="32" t="s">
        <v>2452</v>
      </c>
      <c r="D1404" s="11" t="s">
        <v>2574</v>
      </c>
      <c r="E1404" s="32">
        <v>9.71504212635E11</v>
      </c>
      <c r="F1404" s="34" t="s">
        <v>2575</v>
      </c>
      <c r="G1404" s="32" t="s">
        <v>1039</v>
      </c>
      <c r="H1404" s="32" t="s">
        <v>337</v>
      </c>
      <c r="I1404" s="13"/>
      <c r="J1404" s="13"/>
      <c r="K1404" s="14"/>
      <c r="L1404" s="13"/>
      <c r="M1404" s="14"/>
      <c r="N1404" s="15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</row>
    <row r="1405">
      <c r="A1405" s="9">
        <v>1403.0</v>
      </c>
      <c r="B1405" s="31">
        <v>43986.0</v>
      </c>
      <c r="C1405" s="32" t="s">
        <v>2321</v>
      </c>
      <c r="D1405" s="11" t="s">
        <v>2576</v>
      </c>
      <c r="E1405" s="33">
        <f>+971507123183</f>
        <v>971507123183</v>
      </c>
      <c r="F1405" s="34" t="s">
        <v>2577</v>
      </c>
      <c r="G1405" s="32" t="s">
        <v>187</v>
      </c>
      <c r="H1405" s="32" t="s">
        <v>206</v>
      </c>
      <c r="I1405" s="13"/>
      <c r="J1405" s="13"/>
      <c r="K1405" s="14"/>
      <c r="L1405" s="13"/>
      <c r="M1405" s="14"/>
      <c r="N1405" s="15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</row>
    <row r="1406">
      <c r="A1406" s="9">
        <v>1404.0</v>
      </c>
      <c r="B1406" s="31">
        <v>43985.0</v>
      </c>
      <c r="C1406" s="32" t="s">
        <v>2481</v>
      </c>
      <c r="D1406" s="11" t="s">
        <v>2572</v>
      </c>
      <c r="E1406" s="33">
        <f>+971559546210</f>
        <v>971559546210</v>
      </c>
      <c r="F1406" s="34" t="s">
        <v>2573</v>
      </c>
      <c r="G1406" s="32" t="s">
        <v>300</v>
      </c>
      <c r="H1406" s="32" t="s">
        <v>17</v>
      </c>
      <c r="I1406" s="13"/>
      <c r="J1406" s="13"/>
      <c r="K1406" s="14"/>
      <c r="L1406" s="13"/>
      <c r="M1406" s="14"/>
      <c r="N1406" s="15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</row>
    <row r="1407">
      <c r="A1407" s="9">
        <v>1405.0</v>
      </c>
      <c r="B1407" s="31">
        <v>43985.0</v>
      </c>
      <c r="C1407" s="32" t="s">
        <v>2321</v>
      </c>
      <c r="D1407" s="11" t="s">
        <v>2578</v>
      </c>
      <c r="E1407" s="33">
        <f>+971564743260</f>
        <v>971564743260</v>
      </c>
      <c r="F1407" s="34" t="s">
        <v>2579</v>
      </c>
      <c r="G1407" s="32" t="s">
        <v>20</v>
      </c>
      <c r="H1407" s="32" t="s">
        <v>654</v>
      </c>
      <c r="I1407" s="13"/>
      <c r="J1407" s="13"/>
      <c r="K1407" s="14"/>
      <c r="L1407" s="13"/>
      <c r="M1407" s="14"/>
      <c r="N1407" s="15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</row>
    <row r="1408">
      <c r="A1408" s="9">
        <v>1406.0</v>
      </c>
      <c r="B1408" s="31">
        <v>43985.0</v>
      </c>
      <c r="C1408" s="32" t="s">
        <v>2321</v>
      </c>
      <c r="D1408" s="11" t="s">
        <v>2580</v>
      </c>
      <c r="E1408" s="33">
        <f>+96598901420</f>
        <v>96598901420</v>
      </c>
      <c r="F1408" s="34" t="s">
        <v>2581</v>
      </c>
      <c r="G1408" s="32" t="s">
        <v>20</v>
      </c>
      <c r="H1408" s="32" t="s">
        <v>17</v>
      </c>
      <c r="I1408" s="13"/>
      <c r="J1408" s="13"/>
      <c r="K1408" s="14"/>
      <c r="L1408" s="13"/>
      <c r="M1408" s="14"/>
      <c r="N1408" s="15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</row>
    <row r="1409">
      <c r="A1409" s="9">
        <v>1407.0</v>
      </c>
      <c r="B1409" s="31">
        <v>43985.0</v>
      </c>
      <c r="C1409" s="32" t="s">
        <v>2321</v>
      </c>
      <c r="D1409" s="11" t="s">
        <v>2582</v>
      </c>
      <c r="E1409" s="32">
        <v>5.01116604E8</v>
      </c>
      <c r="F1409" s="34" t="s">
        <v>2583</v>
      </c>
      <c r="G1409" s="32" t="s">
        <v>134</v>
      </c>
      <c r="H1409" s="32" t="s">
        <v>206</v>
      </c>
      <c r="I1409" s="13"/>
      <c r="J1409" s="13"/>
      <c r="K1409" s="14"/>
      <c r="L1409" s="13"/>
      <c r="M1409" s="14"/>
      <c r="N1409" s="15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</row>
    <row r="1410">
      <c r="A1410" s="9">
        <v>1408.0</v>
      </c>
      <c r="B1410" s="31">
        <v>43985.0</v>
      </c>
      <c r="C1410" s="32" t="s">
        <v>2481</v>
      </c>
      <c r="D1410" s="11" t="s">
        <v>2570</v>
      </c>
      <c r="E1410" s="33">
        <f>+971527938718</f>
        <v>971527938718</v>
      </c>
      <c r="F1410" s="34" t="s">
        <v>2571</v>
      </c>
      <c r="G1410" s="32" t="s">
        <v>80</v>
      </c>
      <c r="H1410" s="32" t="s">
        <v>41</v>
      </c>
      <c r="I1410" s="13"/>
      <c r="J1410" s="13"/>
      <c r="K1410" s="14"/>
      <c r="L1410" s="13"/>
      <c r="M1410" s="14"/>
      <c r="N1410" s="15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</row>
    <row r="1411">
      <c r="A1411" s="9">
        <v>1409.0</v>
      </c>
      <c r="B1411" s="31">
        <v>43984.0</v>
      </c>
      <c r="C1411" s="32" t="s">
        <v>2452</v>
      </c>
      <c r="D1411" s="11" t="s">
        <v>2584</v>
      </c>
      <c r="E1411" s="32">
        <v>9.71529300699E11</v>
      </c>
      <c r="F1411" s="34" t="s">
        <v>2585</v>
      </c>
      <c r="G1411" s="32" t="s">
        <v>176</v>
      </c>
      <c r="H1411" s="32" t="s">
        <v>41</v>
      </c>
      <c r="I1411" s="13"/>
      <c r="J1411" s="13"/>
      <c r="K1411" s="14"/>
      <c r="L1411" s="13"/>
      <c r="M1411" s="14"/>
      <c r="N1411" s="15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</row>
    <row r="1412">
      <c r="A1412" s="9">
        <v>1410.0</v>
      </c>
      <c r="B1412" s="31">
        <v>43983.0</v>
      </c>
      <c r="C1412" s="32" t="s">
        <v>2481</v>
      </c>
      <c r="D1412" s="11" t="s">
        <v>2584</v>
      </c>
      <c r="E1412" s="33">
        <f>+971529300699</f>
        <v>971529300699</v>
      </c>
      <c r="F1412" s="34" t="s">
        <v>2586</v>
      </c>
      <c r="G1412" s="32" t="s">
        <v>176</v>
      </c>
      <c r="H1412" s="32" t="s">
        <v>41</v>
      </c>
      <c r="I1412" s="13"/>
      <c r="J1412" s="13"/>
      <c r="K1412" s="14"/>
      <c r="L1412" s="13"/>
      <c r="M1412" s="14"/>
      <c r="N1412" s="15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</row>
    <row r="1413">
      <c r="A1413" s="9">
        <v>1411.0</v>
      </c>
      <c r="B1413" s="31">
        <v>43991.0</v>
      </c>
      <c r="C1413" s="32" t="s">
        <v>2306</v>
      </c>
      <c r="D1413" s="11" t="s">
        <v>2587</v>
      </c>
      <c r="E1413" s="33">
        <f>+9710505728986</f>
        <v>9710505728986</v>
      </c>
      <c r="F1413" s="34" t="s">
        <v>2588</v>
      </c>
      <c r="G1413" s="32" t="s">
        <v>52</v>
      </c>
      <c r="H1413" s="32" t="s">
        <v>260</v>
      </c>
      <c r="I1413" s="13"/>
      <c r="J1413" s="13"/>
      <c r="K1413" s="14"/>
      <c r="L1413" s="13"/>
      <c r="M1413" s="14"/>
      <c r="N1413" s="15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</row>
    <row r="1414">
      <c r="A1414" s="9">
        <v>1412.0</v>
      </c>
      <c r="B1414" s="31">
        <v>43990.0</v>
      </c>
      <c r="C1414" s="32" t="s">
        <v>2321</v>
      </c>
      <c r="D1414" s="11" t="s">
        <v>2589</v>
      </c>
      <c r="E1414" s="33">
        <f>+971504045439</f>
        <v>971504045439</v>
      </c>
      <c r="F1414" s="34" t="s">
        <v>2590</v>
      </c>
      <c r="G1414" s="32" t="s">
        <v>1039</v>
      </c>
      <c r="H1414" s="32" t="s">
        <v>260</v>
      </c>
      <c r="I1414" s="13"/>
      <c r="J1414" s="13"/>
      <c r="K1414" s="14"/>
      <c r="L1414" s="13"/>
      <c r="M1414" s="14"/>
      <c r="N1414" s="15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</row>
    <row r="1415">
      <c r="A1415" s="9">
        <v>1413.0</v>
      </c>
      <c r="B1415" s="31">
        <v>43990.0</v>
      </c>
      <c r="C1415" s="32" t="s">
        <v>2306</v>
      </c>
      <c r="D1415" s="11" t="s">
        <v>2591</v>
      </c>
      <c r="E1415" s="33">
        <f>+971552556634</f>
        <v>971552556634</v>
      </c>
      <c r="F1415" s="34" t="s">
        <v>2592</v>
      </c>
      <c r="G1415" s="32" t="s">
        <v>149</v>
      </c>
      <c r="H1415" s="32" t="s">
        <v>13</v>
      </c>
      <c r="I1415" s="13"/>
      <c r="J1415" s="13"/>
      <c r="K1415" s="14"/>
      <c r="L1415" s="13"/>
      <c r="M1415" s="14"/>
      <c r="N1415" s="15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</row>
    <row r="1416">
      <c r="A1416" s="9">
        <v>1414.0</v>
      </c>
      <c r="B1416" s="31">
        <v>43990.0</v>
      </c>
      <c r="C1416" s="32" t="s">
        <v>2306</v>
      </c>
      <c r="D1416" s="11" t="s">
        <v>2593</v>
      </c>
      <c r="E1416" s="33">
        <f>+971555724585</f>
        <v>971555724585</v>
      </c>
      <c r="F1416" s="34" t="s">
        <v>2594</v>
      </c>
      <c r="G1416" s="32" t="s">
        <v>12</v>
      </c>
      <c r="H1416" s="32" t="s">
        <v>17</v>
      </c>
      <c r="I1416" s="13"/>
      <c r="J1416" s="13"/>
      <c r="K1416" s="14"/>
      <c r="L1416" s="13"/>
      <c r="M1416" s="14"/>
      <c r="N1416" s="15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</row>
    <row r="1417">
      <c r="A1417" s="9">
        <v>1415.0</v>
      </c>
      <c r="B1417" s="31">
        <v>43990.0</v>
      </c>
      <c r="C1417" s="32" t="s">
        <v>2306</v>
      </c>
      <c r="D1417" s="11" t="s">
        <v>2595</v>
      </c>
      <c r="E1417" s="33">
        <f>+96566692541</f>
        <v>96566692541</v>
      </c>
      <c r="F1417" s="34" t="s">
        <v>2596</v>
      </c>
      <c r="G1417" s="32" t="s">
        <v>300</v>
      </c>
      <c r="H1417" s="32" t="s">
        <v>17</v>
      </c>
      <c r="I1417" s="13"/>
      <c r="J1417" s="13"/>
      <c r="K1417" s="14"/>
      <c r="L1417" s="13"/>
      <c r="M1417" s="14"/>
      <c r="N1417" s="15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</row>
    <row r="1418">
      <c r="A1418" s="9">
        <v>1416.0</v>
      </c>
      <c r="B1418" s="31">
        <v>43990.0</v>
      </c>
      <c r="C1418" s="32" t="s">
        <v>2306</v>
      </c>
      <c r="D1418" s="11" t="s">
        <v>2597</v>
      </c>
      <c r="E1418" s="33">
        <f>+9710501144188</f>
        <v>9710501144188</v>
      </c>
      <c r="F1418" s="34" t="s">
        <v>2598</v>
      </c>
      <c r="G1418" s="32" t="s">
        <v>80</v>
      </c>
      <c r="H1418" s="32" t="s">
        <v>81</v>
      </c>
      <c r="I1418" s="13"/>
      <c r="J1418" s="13"/>
      <c r="K1418" s="14"/>
      <c r="L1418" s="13"/>
      <c r="M1418" s="14"/>
      <c r="N1418" s="15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</row>
    <row r="1419">
      <c r="A1419" s="9">
        <v>1417.0</v>
      </c>
      <c r="B1419" s="31">
        <v>43989.0</v>
      </c>
      <c r="C1419" s="32" t="s">
        <v>2321</v>
      </c>
      <c r="D1419" s="11" t="s">
        <v>2599</v>
      </c>
      <c r="E1419" s="33">
        <f>+971556565036</f>
        <v>971556565036</v>
      </c>
      <c r="F1419" s="34" t="s">
        <v>2600</v>
      </c>
      <c r="G1419" s="32" t="s">
        <v>176</v>
      </c>
      <c r="H1419" s="32" t="s">
        <v>41</v>
      </c>
      <c r="I1419" s="13"/>
      <c r="J1419" s="13"/>
      <c r="K1419" s="14"/>
      <c r="L1419" s="13"/>
      <c r="M1419" s="14"/>
      <c r="N1419" s="15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</row>
    <row r="1420">
      <c r="A1420" s="9">
        <v>1418.0</v>
      </c>
      <c r="B1420" s="31">
        <v>43988.0</v>
      </c>
      <c r="C1420" s="32" t="s">
        <v>2306</v>
      </c>
      <c r="D1420" s="11" t="s">
        <v>2601</v>
      </c>
      <c r="E1420" s="33">
        <f>+9710554873222</f>
        <v>9710554873222</v>
      </c>
      <c r="F1420" s="34" t="s">
        <v>2602</v>
      </c>
      <c r="G1420" s="32" t="s">
        <v>80</v>
      </c>
      <c r="H1420" s="32" t="s">
        <v>81</v>
      </c>
      <c r="I1420" s="13"/>
      <c r="J1420" s="13"/>
      <c r="K1420" s="14"/>
      <c r="L1420" s="13"/>
      <c r="M1420" s="14"/>
      <c r="N1420" s="15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</row>
    <row r="1421">
      <c r="A1421" s="9">
        <v>1419.0</v>
      </c>
      <c r="B1421" s="31">
        <v>43986.0</v>
      </c>
      <c r="C1421" s="32" t="s">
        <v>2306</v>
      </c>
      <c r="D1421" s="11" t="s">
        <v>2603</v>
      </c>
      <c r="E1421" s="33">
        <f>+96594079692</f>
        <v>96594079692</v>
      </c>
      <c r="F1421" s="34" t="s">
        <v>2604</v>
      </c>
      <c r="G1421" s="32" t="s">
        <v>176</v>
      </c>
      <c r="H1421" s="32" t="s">
        <v>41</v>
      </c>
      <c r="I1421" s="13"/>
      <c r="J1421" s="13"/>
      <c r="K1421" s="14"/>
      <c r="L1421" s="13"/>
      <c r="M1421" s="14"/>
      <c r="N1421" s="15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</row>
    <row r="1422">
      <c r="A1422" s="9">
        <v>1420.0</v>
      </c>
      <c r="B1422" s="36">
        <v>43981.0</v>
      </c>
      <c r="C1422" s="32" t="s">
        <v>2605</v>
      </c>
      <c r="D1422" s="11" t="s">
        <v>2606</v>
      </c>
      <c r="E1422" s="32" t="s">
        <v>2607</v>
      </c>
      <c r="F1422" s="32" t="s">
        <v>410</v>
      </c>
      <c r="G1422" s="32" t="s">
        <v>2608</v>
      </c>
      <c r="H1422" s="32" t="s">
        <v>73</v>
      </c>
      <c r="I1422" s="13"/>
      <c r="J1422" s="13"/>
      <c r="K1422" s="14"/>
      <c r="L1422" s="13"/>
      <c r="M1422" s="14"/>
      <c r="N1422" s="14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</row>
    <row r="1423">
      <c r="A1423" s="9">
        <v>1421.0</v>
      </c>
      <c r="B1423" s="36">
        <v>43981.0</v>
      </c>
      <c r="C1423" s="32" t="s">
        <v>2609</v>
      </c>
      <c r="D1423" s="11" t="s">
        <v>2610</v>
      </c>
      <c r="E1423" s="33">
        <f>+9710564131439</f>
        <v>9710564131439</v>
      </c>
      <c r="F1423" s="34" t="s">
        <v>2611</v>
      </c>
      <c r="G1423" s="32" t="s">
        <v>432</v>
      </c>
      <c r="H1423" s="32" t="s">
        <v>260</v>
      </c>
      <c r="I1423" s="13"/>
      <c r="J1423" s="13"/>
      <c r="K1423" s="14"/>
      <c r="L1423" s="13"/>
      <c r="M1423" s="14"/>
      <c r="N1423" s="15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</row>
    <row r="1424">
      <c r="A1424" s="9">
        <v>1422.0</v>
      </c>
      <c r="B1424" s="36">
        <v>43979.0</v>
      </c>
      <c r="C1424" s="32" t="s">
        <v>2612</v>
      </c>
      <c r="D1424" s="11" t="s">
        <v>2613</v>
      </c>
      <c r="E1424" s="33">
        <f>+ 971556252333</f>
        <v>971556252333</v>
      </c>
      <c r="F1424" s="34" t="s">
        <v>2614</v>
      </c>
      <c r="G1424" s="32" t="s">
        <v>455</v>
      </c>
      <c r="H1424" s="32" t="s">
        <v>17</v>
      </c>
      <c r="I1424" s="13"/>
      <c r="J1424" s="13"/>
      <c r="K1424" s="14"/>
      <c r="L1424" s="13"/>
      <c r="M1424" s="14"/>
      <c r="N1424" s="15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</row>
    <row r="1425">
      <c r="A1425" s="9">
        <v>1423.0</v>
      </c>
      <c r="B1425" s="36">
        <v>43965.0</v>
      </c>
      <c r="C1425" s="32" t="s">
        <v>2615</v>
      </c>
      <c r="D1425" s="11" t="s">
        <v>2616</v>
      </c>
      <c r="E1425" s="33">
        <f>+9660505497235</f>
        <v>9660505497235</v>
      </c>
      <c r="F1425" s="34" t="s">
        <v>2617</v>
      </c>
      <c r="G1425" s="32" t="s">
        <v>2516</v>
      </c>
      <c r="H1425" s="32" t="s">
        <v>337</v>
      </c>
      <c r="I1425" s="13"/>
      <c r="J1425" s="13"/>
      <c r="K1425" s="27"/>
      <c r="L1425" s="13"/>
      <c r="M1425" s="14"/>
      <c r="N1425" s="15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</row>
    <row r="1426">
      <c r="A1426" s="9">
        <v>1424.0</v>
      </c>
      <c r="B1426" s="36">
        <v>43957.0</v>
      </c>
      <c r="C1426" s="32" t="s">
        <v>2612</v>
      </c>
      <c r="D1426" s="11" t="s">
        <v>2618</v>
      </c>
      <c r="E1426" s="33">
        <f>+971509295458</f>
        <v>971509295458</v>
      </c>
      <c r="F1426" s="34" t="s">
        <v>2619</v>
      </c>
      <c r="G1426" s="32" t="s">
        <v>417</v>
      </c>
      <c r="H1426" s="32" t="s">
        <v>260</v>
      </c>
      <c r="I1426" s="13"/>
      <c r="J1426" s="13"/>
      <c r="K1426" s="14"/>
      <c r="L1426" s="13"/>
      <c r="M1426" s="14"/>
      <c r="N1426" s="15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</row>
    <row r="1427">
      <c r="A1427" s="9">
        <v>1425.0</v>
      </c>
      <c r="B1427" s="36">
        <v>43956.0</v>
      </c>
      <c r="C1427" s="32" t="s">
        <v>2620</v>
      </c>
      <c r="D1427" s="11" t="s">
        <v>2621</v>
      </c>
      <c r="E1427" s="32">
        <v>9.71504257775E11</v>
      </c>
      <c r="F1427" s="34" t="s">
        <v>2622</v>
      </c>
      <c r="G1427" s="32" t="s">
        <v>432</v>
      </c>
      <c r="H1427" s="32" t="s">
        <v>337</v>
      </c>
      <c r="I1427" s="13"/>
      <c r="J1427" s="13"/>
      <c r="K1427" s="14"/>
      <c r="L1427" s="13"/>
      <c r="M1427" s="14"/>
      <c r="N1427" s="14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</row>
    <row r="1428">
      <c r="A1428" s="9">
        <v>1426.0</v>
      </c>
      <c r="B1428" s="36">
        <v>43956.0</v>
      </c>
      <c r="C1428" s="32" t="s">
        <v>433</v>
      </c>
      <c r="D1428" s="11" t="s">
        <v>2623</v>
      </c>
      <c r="E1428" s="32">
        <v>9.6590072525E10</v>
      </c>
      <c r="F1428" s="34" t="s">
        <v>2624</v>
      </c>
      <c r="G1428" s="32" t="s">
        <v>432</v>
      </c>
      <c r="H1428" s="32" t="s">
        <v>337</v>
      </c>
      <c r="I1428" s="13"/>
      <c r="J1428" s="13"/>
      <c r="K1428" s="14"/>
      <c r="L1428" s="13"/>
      <c r="M1428" s="14"/>
      <c r="N1428" s="14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</row>
    <row r="1429">
      <c r="A1429" s="9">
        <v>1427.0</v>
      </c>
      <c r="B1429" s="36">
        <v>43956.0</v>
      </c>
      <c r="C1429" s="32" t="s">
        <v>456</v>
      </c>
      <c r="D1429" s="11" t="s">
        <v>58</v>
      </c>
      <c r="E1429" s="33" t="str">
        <f>+971 50-445-1555</f>
        <v>#ERROR!</v>
      </c>
      <c r="F1429" s="34" t="s">
        <v>1124</v>
      </c>
      <c r="G1429" s="32" t="s">
        <v>432</v>
      </c>
      <c r="H1429" s="32" t="s">
        <v>337</v>
      </c>
      <c r="I1429" s="13"/>
      <c r="J1429" s="13"/>
      <c r="K1429" s="14"/>
      <c r="L1429" s="13"/>
      <c r="M1429" s="14"/>
      <c r="N1429" s="14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</row>
    <row r="1430">
      <c r="A1430" s="9">
        <v>1428.0</v>
      </c>
      <c r="B1430" s="36">
        <v>43956.0</v>
      </c>
      <c r="C1430" s="32" t="s">
        <v>2625</v>
      </c>
      <c r="D1430" s="11" t="s">
        <v>2626</v>
      </c>
      <c r="E1430" s="32">
        <v>4.47737729996E11</v>
      </c>
      <c r="F1430" s="34" t="s">
        <v>2627</v>
      </c>
      <c r="G1430" s="32" t="s">
        <v>432</v>
      </c>
      <c r="H1430" s="32" t="s">
        <v>337</v>
      </c>
      <c r="I1430" s="13"/>
      <c r="J1430" s="13"/>
      <c r="K1430" s="14"/>
      <c r="L1430" s="13"/>
      <c r="M1430" s="14"/>
      <c r="N1430" s="14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</row>
    <row r="1431">
      <c r="A1431" s="9">
        <v>1429.0</v>
      </c>
      <c r="B1431" s="36">
        <v>43956.0</v>
      </c>
      <c r="C1431" s="32" t="s">
        <v>433</v>
      </c>
      <c r="D1431" s="11" t="s">
        <v>2628</v>
      </c>
      <c r="E1431" s="32">
        <v>9.656065211E10</v>
      </c>
      <c r="F1431" s="34" t="s">
        <v>2629</v>
      </c>
      <c r="G1431" s="32" t="s">
        <v>432</v>
      </c>
      <c r="H1431" s="32" t="s">
        <v>337</v>
      </c>
      <c r="I1431" s="13"/>
      <c r="J1431" s="13"/>
      <c r="K1431" s="14"/>
      <c r="L1431" s="13"/>
      <c r="M1431" s="14"/>
      <c r="N1431" s="14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</row>
    <row r="1432">
      <c r="A1432" s="9">
        <v>1430.0</v>
      </c>
      <c r="B1432" s="36">
        <v>43956.0</v>
      </c>
      <c r="C1432" s="32" t="s">
        <v>2347</v>
      </c>
      <c r="D1432" s="11" t="s">
        <v>2630</v>
      </c>
      <c r="E1432" s="32">
        <v>9.62772065678E11</v>
      </c>
      <c r="F1432" s="34" t="s">
        <v>2631</v>
      </c>
      <c r="G1432" s="32" t="s">
        <v>432</v>
      </c>
      <c r="H1432" s="32" t="s">
        <v>337</v>
      </c>
      <c r="I1432" s="13"/>
      <c r="J1432" s="13"/>
      <c r="K1432" s="14"/>
      <c r="L1432" s="13"/>
      <c r="M1432" s="14"/>
      <c r="N1432" s="14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</row>
    <row r="1433">
      <c r="A1433" s="9">
        <v>1431.0</v>
      </c>
      <c r="B1433" s="31">
        <v>43941.0</v>
      </c>
      <c r="C1433" s="32" t="s">
        <v>433</v>
      </c>
      <c r="D1433" s="11" t="s">
        <v>2632</v>
      </c>
      <c r="E1433" s="32">
        <v>9.66581777209E11</v>
      </c>
      <c r="F1433" s="34" t="s">
        <v>2633</v>
      </c>
      <c r="G1433" s="32" t="s">
        <v>2516</v>
      </c>
      <c r="H1433" s="32" t="s">
        <v>337</v>
      </c>
      <c r="I1433" s="13"/>
      <c r="J1433" s="13"/>
      <c r="K1433" s="14"/>
      <c r="L1433" s="13"/>
      <c r="M1433" s="14"/>
      <c r="N1433" s="15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</row>
    <row r="1434">
      <c r="A1434" s="9">
        <v>1432.0</v>
      </c>
      <c r="B1434" s="31">
        <v>43941.0</v>
      </c>
      <c r="C1434" s="32" t="s">
        <v>433</v>
      </c>
      <c r="D1434" s="11" t="s">
        <v>2634</v>
      </c>
      <c r="E1434" s="32">
        <v>9.2321615905E11</v>
      </c>
      <c r="F1434" s="34" t="s">
        <v>2635</v>
      </c>
      <c r="G1434" s="32" t="s">
        <v>2516</v>
      </c>
      <c r="H1434" s="32" t="s">
        <v>260</v>
      </c>
      <c r="I1434" s="13"/>
      <c r="J1434" s="13"/>
      <c r="K1434" s="14"/>
      <c r="L1434" s="13"/>
      <c r="M1434" s="14"/>
      <c r="N1434" s="15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</row>
    <row r="1435">
      <c r="A1435" s="9">
        <v>1433.0</v>
      </c>
      <c r="B1435" s="31">
        <v>43941.0</v>
      </c>
      <c r="C1435" s="32" t="s">
        <v>438</v>
      </c>
      <c r="D1435" s="11" t="s">
        <v>2636</v>
      </c>
      <c r="E1435" s="32">
        <v>5.57728003E8</v>
      </c>
      <c r="F1435" s="34" t="s">
        <v>2637</v>
      </c>
      <c r="G1435" s="32" t="s">
        <v>176</v>
      </c>
      <c r="H1435" s="32" t="s">
        <v>41</v>
      </c>
      <c r="I1435" s="13"/>
      <c r="J1435" s="13"/>
      <c r="K1435" s="14"/>
      <c r="L1435" s="13"/>
      <c r="M1435" s="14"/>
      <c r="N1435" s="15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</row>
    <row r="1436">
      <c r="A1436" s="9">
        <v>1434.0</v>
      </c>
      <c r="B1436" s="31">
        <v>43852.0</v>
      </c>
      <c r="C1436" s="32" t="s">
        <v>2347</v>
      </c>
      <c r="D1436" s="11" t="s">
        <v>2638</v>
      </c>
      <c r="E1436" s="32">
        <v>9.6597217295E10</v>
      </c>
      <c r="F1436" s="34" t="s">
        <v>2639</v>
      </c>
      <c r="G1436" s="32" t="s">
        <v>181</v>
      </c>
      <c r="H1436" s="32" t="s">
        <v>260</v>
      </c>
      <c r="I1436" s="13"/>
      <c r="J1436" s="13"/>
      <c r="K1436" s="14"/>
      <c r="L1436" s="13"/>
      <c r="M1436" s="14"/>
      <c r="N1436" s="15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</row>
    <row r="1437">
      <c r="A1437" s="9">
        <v>1435.0</v>
      </c>
      <c r="B1437" s="31">
        <v>43941.0</v>
      </c>
      <c r="C1437" s="32" t="s">
        <v>2640</v>
      </c>
      <c r="D1437" s="11" t="s">
        <v>2641</v>
      </c>
      <c r="E1437" s="32">
        <v>9.71506482456E11</v>
      </c>
      <c r="F1437" s="34" t="s">
        <v>2642</v>
      </c>
      <c r="G1437" s="32" t="s">
        <v>2516</v>
      </c>
      <c r="H1437" s="32" t="s">
        <v>17</v>
      </c>
      <c r="I1437" s="13"/>
      <c r="J1437" s="13"/>
      <c r="K1437" s="14"/>
      <c r="L1437" s="13"/>
      <c r="M1437" s="14"/>
      <c r="N1437" s="15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</row>
    <row r="1438">
      <c r="A1438" s="9">
        <v>1436.0</v>
      </c>
      <c r="B1438" s="31">
        <v>43941.0</v>
      </c>
      <c r="C1438" s="32" t="s">
        <v>433</v>
      </c>
      <c r="D1438" s="11" t="s">
        <v>2643</v>
      </c>
      <c r="E1438" s="32">
        <v>9.66050218461E12</v>
      </c>
      <c r="F1438" s="34" t="s">
        <v>2644</v>
      </c>
      <c r="G1438" s="32" t="s">
        <v>176</v>
      </c>
      <c r="H1438" s="32" t="s">
        <v>41</v>
      </c>
      <c r="I1438" s="13"/>
      <c r="J1438" s="13"/>
      <c r="K1438" s="14"/>
      <c r="L1438" s="13"/>
      <c r="M1438" s="14"/>
      <c r="N1438" s="15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</row>
    <row r="1439">
      <c r="A1439" s="9">
        <v>1437.0</v>
      </c>
      <c r="B1439" s="31">
        <v>43941.0</v>
      </c>
      <c r="C1439" s="32" t="s">
        <v>438</v>
      </c>
      <c r="D1439" s="11" t="s">
        <v>2645</v>
      </c>
      <c r="E1439" s="32">
        <v>9.71563838074E11</v>
      </c>
      <c r="F1439" s="34" t="s">
        <v>2646</v>
      </c>
      <c r="G1439" s="32" t="s">
        <v>2516</v>
      </c>
      <c r="H1439" s="32" t="s">
        <v>17</v>
      </c>
      <c r="I1439" s="13"/>
      <c r="J1439" s="13"/>
      <c r="K1439" s="14"/>
      <c r="L1439" s="13"/>
      <c r="M1439" s="14"/>
      <c r="N1439" s="15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</row>
    <row r="1440">
      <c r="A1440" s="9">
        <v>1438.0</v>
      </c>
      <c r="B1440" s="31">
        <v>43941.0</v>
      </c>
      <c r="C1440" s="32" t="s">
        <v>2647</v>
      </c>
      <c r="D1440" s="11" t="s">
        <v>2648</v>
      </c>
      <c r="E1440" s="32">
        <v>3.1615386755E10</v>
      </c>
      <c r="F1440" s="34" t="s">
        <v>2649</v>
      </c>
      <c r="G1440" s="32" t="s">
        <v>181</v>
      </c>
      <c r="H1440" s="32" t="s">
        <v>260</v>
      </c>
      <c r="I1440" s="13"/>
      <c r="J1440" s="13"/>
      <c r="K1440" s="14"/>
      <c r="L1440" s="13"/>
      <c r="M1440" s="14"/>
      <c r="N1440" s="15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</row>
    <row r="1441">
      <c r="A1441" s="9">
        <v>1439.0</v>
      </c>
      <c r="B1441" s="31">
        <v>43941.0</v>
      </c>
      <c r="C1441" s="32" t="s">
        <v>1510</v>
      </c>
      <c r="D1441" s="11" t="s">
        <v>2650</v>
      </c>
      <c r="E1441" s="32">
        <v>9.710557957234E12</v>
      </c>
      <c r="F1441" s="34" t="s">
        <v>2651</v>
      </c>
      <c r="G1441" s="32" t="s">
        <v>176</v>
      </c>
      <c r="H1441" s="32" t="s">
        <v>17</v>
      </c>
      <c r="I1441" s="13"/>
      <c r="J1441" s="13"/>
      <c r="K1441" s="14"/>
      <c r="L1441" s="13"/>
      <c r="M1441" s="14"/>
      <c r="N1441" s="15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</row>
    <row r="1442">
      <c r="A1442" s="9">
        <v>1440.0</v>
      </c>
      <c r="B1442" s="31">
        <v>43941.0</v>
      </c>
      <c r="C1442" s="32" t="s">
        <v>2647</v>
      </c>
      <c r="D1442" s="11" t="s">
        <v>2652</v>
      </c>
      <c r="E1442" s="32">
        <v>9.71505395937E11</v>
      </c>
      <c r="F1442" s="34" t="s">
        <v>2653</v>
      </c>
      <c r="G1442" s="32" t="s">
        <v>35</v>
      </c>
      <c r="H1442" s="32" t="s">
        <v>260</v>
      </c>
      <c r="I1442" s="13"/>
      <c r="J1442" s="13"/>
      <c r="K1442" s="14"/>
      <c r="L1442" s="13"/>
      <c r="M1442" s="14"/>
      <c r="N1442" s="15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</row>
    <row r="1443">
      <c r="A1443" s="9">
        <v>1441.0</v>
      </c>
      <c r="B1443" s="31">
        <v>43766.0</v>
      </c>
      <c r="C1443" s="32" t="s">
        <v>2625</v>
      </c>
      <c r="D1443" s="11" t="s">
        <v>2654</v>
      </c>
      <c r="E1443" s="32">
        <v>4.47936903355E11</v>
      </c>
      <c r="F1443" s="34" t="s">
        <v>2655</v>
      </c>
      <c r="G1443" s="32" t="s">
        <v>176</v>
      </c>
      <c r="H1443" s="32" t="s">
        <v>41</v>
      </c>
      <c r="I1443" s="13"/>
      <c r="J1443" s="13"/>
      <c r="K1443" s="14"/>
      <c r="L1443" s="13"/>
      <c r="M1443" s="14"/>
      <c r="N1443" s="15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</row>
    <row r="1444">
      <c r="A1444" s="9">
        <v>1442.0</v>
      </c>
      <c r="B1444" s="31">
        <v>43941.0</v>
      </c>
      <c r="C1444" s="32" t="s">
        <v>438</v>
      </c>
      <c r="D1444" s="11" t="s">
        <v>2656</v>
      </c>
      <c r="E1444" s="32">
        <v>5.85580308E8</v>
      </c>
      <c r="F1444" s="34" t="s">
        <v>2657</v>
      </c>
      <c r="G1444" s="32" t="s">
        <v>176</v>
      </c>
      <c r="H1444" s="32" t="s">
        <v>206</v>
      </c>
      <c r="I1444" s="13"/>
      <c r="J1444" s="13"/>
      <c r="K1444" s="14"/>
      <c r="L1444" s="13"/>
      <c r="M1444" s="14"/>
      <c r="N1444" s="15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</row>
    <row r="1445">
      <c r="A1445" s="9">
        <v>1443.0</v>
      </c>
      <c r="B1445" s="31">
        <v>43941.0</v>
      </c>
      <c r="C1445" s="32" t="s">
        <v>438</v>
      </c>
      <c r="D1445" s="11" t="s">
        <v>2658</v>
      </c>
      <c r="E1445" s="32">
        <v>5.03208265E8</v>
      </c>
      <c r="F1445" s="34" t="s">
        <v>2659</v>
      </c>
      <c r="G1445" s="32" t="s">
        <v>2516</v>
      </c>
      <c r="H1445" s="32" t="s">
        <v>17</v>
      </c>
      <c r="I1445" s="13"/>
      <c r="J1445" s="13"/>
      <c r="K1445" s="14"/>
      <c r="L1445" s="13"/>
      <c r="M1445" s="14"/>
      <c r="N1445" s="15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</row>
    <row r="1446">
      <c r="A1446" s="9">
        <v>1444.0</v>
      </c>
      <c r="B1446" s="31">
        <v>43941.0</v>
      </c>
      <c r="C1446" s="32" t="s">
        <v>433</v>
      </c>
      <c r="D1446" s="11" t="s">
        <v>2660</v>
      </c>
      <c r="E1446" s="32">
        <v>9.23024299385E11</v>
      </c>
      <c r="F1446" s="34" t="s">
        <v>2661</v>
      </c>
      <c r="G1446" s="32" t="s">
        <v>2516</v>
      </c>
      <c r="H1446" s="32" t="s">
        <v>337</v>
      </c>
      <c r="I1446" s="13"/>
      <c r="J1446" s="13"/>
      <c r="K1446" s="14"/>
      <c r="L1446" s="13"/>
      <c r="M1446" s="14"/>
      <c r="N1446" s="15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</row>
    <row r="1447">
      <c r="A1447" s="9">
        <v>1445.0</v>
      </c>
      <c r="B1447" s="31">
        <v>43941.0</v>
      </c>
      <c r="C1447" s="32" t="s">
        <v>438</v>
      </c>
      <c r="D1447" s="11" t="s">
        <v>2662</v>
      </c>
      <c r="E1447" s="32">
        <v>9.17204901272E11</v>
      </c>
      <c r="F1447" s="34" t="s">
        <v>2663</v>
      </c>
      <c r="G1447" s="32" t="s">
        <v>35</v>
      </c>
      <c r="H1447" s="32" t="s">
        <v>206</v>
      </c>
      <c r="I1447" s="13"/>
      <c r="J1447" s="13"/>
      <c r="K1447" s="14"/>
      <c r="L1447" s="13"/>
      <c r="M1447" s="14"/>
      <c r="N1447" s="15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</row>
    <row r="1448">
      <c r="A1448" s="9">
        <v>1446.0</v>
      </c>
      <c r="B1448" s="31">
        <v>43941.0</v>
      </c>
      <c r="C1448" s="32" t="s">
        <v>433</v>
      </c>
      <c r="D1448" s="16" t="s">
        <v>2664</v>
      </c>
      <c r="E1448" s="32">
        <v>2.01111692561E11</v>
      </c>
      <c r="F1448" s="34" t="s">
        <v>2665</v>
      </c>
      <c r="G1448" s="32" t="s">
        <v>2516</v>
      </c>
      <c r="H1448" s="32" t="s">
        <v>17</v>
      </c>
      <c r="I1448" s="13"/>
      <c r="J1448" s="13"/>
      <c r="K1448" s="14"/>
      <c r="L1448" s="13"/>
      <c r="M1448" s="14"/>
      <c r="N1448" s="15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</row>
    <row r="1449">
      <c r="A1449" s="9">
        <v>1447.0</v>
      </c>
      <c r="B1449" s="31">
        <v>43941.0</v>
      </c>
      <c r="C1449" s="32" t="s">
        <v>438</v>
      </c>
      <c r="D1449" s="11" t="s">
        <v>2666</v>
      </c>
      <c r="E1449" s="32">
        <v>9.71561163378E11</v>
      </c>
      <c r="F1449" s="34" t="s">
        <v>2667</v>
      </c>
      <c r="G1449" s="32" t="s">
        <v>2668</v>
      </c>
      <c r="H1449" s="32" t="s">
        <v>206</v>
      </c>
      <c r="I1449" s="13"/>
      <c r="J1449" s="13"/>
      <c r="K1449" s="14"/>
      <c r="L1449" s="13"/>
      <c r="M1449" s="14"/>
      <c r="N1449" s="15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</row>
    <row r="1450">
      <c r="A1450" s="9">
        <v>1448.0</v>
      </c>
      <c r="B1450" s="31">
        <v>43941.0</v>
      </c>
      <c r="C1450" s="32" t="s">
        <v>438</v>
      </c>
      <c r="D1450" s="11" t="s">
        <v>2669</v>
      </c>
      <c r="E1450" s="32">
        <v>5.85596044E8</v>
      </c>
      <c r="F1450" s="34" t="s">
        <v>2670</v>
      </c>
      <c r="G1450" s="32" t="s">
        <v>2516</v>
      </c>
      <c r="H1450" s="32" t="s">
        <v>17</v>
      </c>
      <c r="I1450" s="13"/>
      <c r="J1450" s="13"/>
      <c r="K1450" s="14"/>
      <c r="L1450" s="13"/>
      <c r="M1450" s="14"/>
      <c r="N1450" s="15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</row>
    <row r="1451">
      <c r="A1451" s="9">
        <v>1449.0</v>
      </c>
      <c r="B1451" s="31">
        <v>43792.0</v>
      </c>
      <c r="C1451" s="32" t="s">
        <v>2625</v>
      </c>
      <c r="D1451" s="11" t="s">
        <v>2671</v>
      </c>
      <c r="E1451" s="32">
        <v>3.3640628299E10</v>
      </c>
      <c r="F1451" s="34" t="s">
        <v>2672</v>
      </c>
      <c r="G1451" s="32" t="s">
        <v>181</v>
      </c>
      <c r="H1451" s="32" t="s">
        <v>260</v>
      </c>
      <c r="I1451" s="13"/>
      <c r="J1451" s="13"/>
      <c r="K1451" s="14"/>
      <c r="L1451" s="13"/>
      <c r="M1451" s="14"/>
      <c r="N1451" s="15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</row>
    <row r="1452">
      <c r="A1452" s="9">
        <v>1450.0</v>
      </c>
      <c r="B1452" s="31">
        <v>43795.0</v>
      </c>
      <c r="C1452" s="32" t="s">
        <v>2625</v>
      </c>
      <c r="D1452" s="11" t="s">
        <v>2626</v>
      </c>
      <c r="E1452" s="32">
        <v>4.47737729996E11</v>
      </c>
      <c r="F1452" s="34" t="s">
        <v>2627</v>
      </c>
      <c r="G1452" s="32" t="s">
        <v>176</v>
      </c>
      <c r="H1452" s="32" t="s">
        <v>206</v>
      </c>
      <c r="I1452" s="13"/>
      <c r="J1452" s="13"/>
      <c r="K1452" s="14"/>
      <c r="L1452" s="13"/>
      <c r="M1452" s="14"/>
      <c r="N1452" s="15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</row>
    <row r="1453">
      <c r="A1453" s="9">
        <v>1451.0</v>
      </c>
      <c r="B1453" s="31">
        <v>43941.0</v>
      </c>
      <c r="C1453" s="32" t="s">
        <v>433</v>
      </c>
      <c r="D1453" s="11" t="s">
        <v>2673</v>
      </c>
      <c r="E1453" s="32">
        <v>9.6657723159E11</v>
      </c>
      <c r="F1453" s="34" t="s">
        <v>2674</v>
      </c>
      <c r="G1453" s="32" t="s">
        <v>2516</v>
      </c>
      <c r="H1453" s="32" t="s">
        <v>206</v>
      </c>
      <c r="I1453" s="13"/>
      <c r="J1453" s="13"/>
      <c r="K1453" s="14"/>
      <c r="L1453" s="13"/>
      <c r="M1453" s="14"/>
      <c r="N1453" s="15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</row>
    <row r="1454">
      <c r="A1454" s="9">
        <v>1452.0</v>
      </c>
      <c r="B1454" s="31">
        <v>43941.0</v>
      </c>
      <c r="C1454" s="32" t="s">
        <v>438</v>
      </c>
      <c r="D1454" s="11" t="s">
        <v>2675</v>
      </c>
      <c r="E1454" s="32">
        <v>9.71521875231E11</v>
      </c>
      <c r="F1454" s="34" t="s">
        <v>2676</v>
      </c>
      <c r="G1454" s="32" t="s">
        <v>2516</v>
      </c>
      <c r="H1454" s="32" t="s">
        <v>17</v>
      </c>
      <c r="I1454" s="13"/>
      <c r="J1454" s="13"/>
      <c r="K1454" s="14"/>
      <c r="L1454" s="13"/>
      <c r="M1454" s="14"/>
      <c r="N1454" s="15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</row>
    <row r="1455">
      <c r="A1455" s="9">
        <v>1453.0</v>
      </c>
      <c r="B1455" s="31">
        <v>43766.0</v>
      </c>
      <c r="C1455" s="32" t="s">
        <v>420</v>
      </c>
      <c r="D1455" s="11" t="s">
        <v>2677</v>
      </c>
      <c r="E1455" s="32">
        <v>4.4790040007E11</v>
      </c>
      <c r="F1455" s="34" t="s">
        <v>2678</v>
      </c>
      <c r="G1455" s="32" t="s">
        <v>423</v>
      </c>
      <c r="H1455" s="32" t="s">
        <v>206</v>
      </c>
      <c r="I1455" s="13"/>
      <c r="J1455" s="13"/>
      <c r="K1455" s="14"/>
      <c r="L1455" s="13"/>
      <c r="M1455" s="14"/>
      <c r="N1455" s="15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</row>
    <row r="1456">
      <c r="A1456" s="9">
        <v>1454.0</v>
      </c>
      <c r="B1456" s="31">
        <v>43941.0</v>
      </c>
      <c r="C1456" s="32" t="s">
        <v>433</v>
      </c>
      <c r="D1456" s="11" t="s">
        <v>2679</v>
      </c>
      <c r="E1456" s="32">
        <v>9.71553410298E11</v>
      </c>
      <c r="F1456" s="34" t="s">
        <v>2680</v>
      </c>
      <c r="G1456" s="32" t="s">
        <v>176</v>
      </c>
      <c r="H1456" s="32" t="s">
        <v>206</v>
      </c>
      <c r="I1456" s="13"/>
      <c r="J1456" s="13"/>
      <c r="K1456" s="14"/>
      <c r="L1456" s="13"/>
      <c r="M1456" s="14"/>
      <c r="N1456" s="15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</row>
    <row r="1457">
      <c r="A1457" s="9">
        <v>1455.0</v>
      </c>
      <c r="B1457" s="31">
        <v>43941.0</v>
      </c>
      <c r="C1457" s="32" t="s">
        <v>438</v>
      </c>
      <c r="D1457" s="11" t="s">
        <v>2681</v>
      </c>
      <c r="E1457" s="32">
        <v>9.660561111932E12</v>
      </c>
      <c r="F1457" s="34" t="s">
        <v>2682</v>
      </c>
      <c r="G1457" s="32" t="s">
        <v>2516</v>
      </c>
      <c r="H1457" s="32" t="s">
        <v>206</v>
      </c>
      <c r="I1457" s="13"/>
      <c r="J1457" s="13"/>
      <c r="K1457" s="14"/>
      <c r="L1457" s="13"/>
      <c r="M1457" s="14"/>
      <c r="N1457" s="15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</row>
    <row r="1458">
      <c r="A1458" s="9">
        <v>1456.0</v>
      </c>
      <c r="B1458" s="31">
        <v>43941.0</v>
      </c>
      <c r="C1458" s="32" t="s">
        <v>438</v>
      </c>
      <c r="D1458" s="11" t="s">
        <v>2683</v>
      </c>
      <c r="E1458" s="32">
        <v>9.71551919847E11</v>
      </c>
      <c r="F1458" s="34" t="s">
        <v>2684</v>
      </c>
      <c r="G1458" s="32" t="s">
        <v>2668</v>
      </c>
      <c r="H1458" s="32" t="s">
        <v>206</v>
      </c>
      <c r="I1458" s="13"/>
      <c r="J1458" s="13"/>
      <c r="K1458" s="14"/>
      <c r="L1458" s="13"/>
      <c r="M1458" s="14"/>
      <c r="N1458" s="15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</row>
    <row r="1459">
      <c r="A1459" s="9">
        <v>1457.0</v>
      </c>
      <c r="B1459" s="31">
        <v>43941.0</v>
      </c>
      <c r="C1459" s="32" t="s">
        <v>2685</v>
      </c>
      <c r="D1459" s="11" t="s">
        <v>2686</v>
      </c>
      <c r="E1459" s="32">
        <v>9.710568347322E12</v>
      </c>
      <c r="F1459" s="34" t="s">
        <v>2687</v>
      </c>
      <c r="G1459" s="32" t="s">
        <v>176</v>
      </c>
      <c r="H1459" s="32" t="s">
        <v>206</v>
      </c>
      <c r="I1459" s="13"/>
      <c r="J1459" s="13"/>
      <c r="K1459" s="14"/>
      <c r="L1459" s="13"/>
      <c r="M1459" s="14"/>
      <c r="N1459" s="15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</row>
    <row r="1460">
      <c r="A1460" s="9">
        <v>1458.0</v>
      </c>
      <c r="B1460" s="31">
        <v>43941.0</v>
      </c>
      <c r="C1460" s="32" t="s">
        <v>438</v>
      </c>
      <c r="D1460" s="11" t="s">
        <v>2688</v>
      </c>
      <c r="E1460" s="32">
        <v>5.05979947E8</v>
      </c>
      <c r="F1460" s="34" t="s">
        <v>2689</v>
      </c>
      <c r="G1460" s="32" t="s">
        <v>176</v>
      </c>
      <c r="H1460" s="32" t="s">
        <v>337</v>
      </c>
      <c r="I1460" s="13"/>
      <c r="J1460" s="13"/>
      <c r="K1460" s="14"/>
      <c r="L1460" s="13"/>
      <c r="M1460" s="14"/>
      <c r="N1460" s="15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</row>
    <row r="1461">
      <c r="A1461" s="9">
        <v>1459.0</v>
      </c>
      <c r="B1461" s="31">
        <v>43806.0</v>
      </c>
      <c r="C1461" s="32" t="s">
        <v>2690</v>
      </c>
      <c r="D1461" s="11" t="s">
        <v>2691</v>
      </c>
      <c r="E1461" s="32">
        <v>4.407368609282E12</v>
      </c>
      <c r="F1461" s="34" t="s">
        <v>2692</v>
      </c>
      <c r="G1461" s="32" t="s">
        <v>181</v>
      </c>
      <c r="H1461" s="32" t="s">
        <v>260</v>
      </c>
      <c r="I1461" s="13"/>
      <c r="J1461" s="13"/>
      <c r="K1461" s="14"/>
      <c r="L1461" s="13"/>
      <c r="M1461" s="14"/>
      <c r="N1461" s="15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</row>
    <row r="1462">
      <c r="A1462" s="9">
        <v>1460.0</v>
      </c>
      <c r="B1462" s="31">
        <v>43852.0</v>
      </c>
      <c r="C1462" s="32" t="s">
        <v>2347</v>
      </c>
      <c r="D1462" s="11" t="s">
        <v>2693</v>
      </c>
      <c r="E1462" s="32">
        <v>4.47478699292E11</v>
      </c>
      <c r="F1462" s="34" t="s">
        <v>2694</v>
      </c>
      <c r="G1462" s="32" t="s">
        <v>181</v>
      </c>
      <c r="H1462" s="32" t="s">
        <v>260</v>
      </c>
      <c r="I1462" s="13"/>
      <c r="J1462" s="13"/>
      <c r="K1462" s="14"/>
      <c r="L1462" s="13"/>
      <c r="M1462" s="14"/>
      <c r="N1462" s="15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</row>
    <row r="1463">
      <c r="A1463" s="9">
        <v>1461.0</v>
      </c>
      <c r="B1463" s="31">
        <v>43774.0</v>
      </c>
      <c r="C1463" s="32" t="s">
        <v>456</v>
      </c>
      <c r="D1463" s="11" t="s">
        <v>2695</v>
      </c>
      <c r="E1463" s="32">
        <v>2.01223306589E11</v>
      </c>
      <c r="F1463" s="34" t="s">
        <v>2696</v>
      </c>
      <c r="G1463" s="32" t="s">
        <v>423</v>
      </c>
      <c r="H1463" s="32" t="s">
        <v>206</v>
      </c>
      <c r="I1463" s="13"/>
      <c r="J1463" s="13"/>
      <c r="K1463" s="14"/>
      <c r="L1463" s="13"/>
      <c r="M1463" s="14"/>
      <c r="N1463" s="15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</row>
    <row r="1464">
      <c r="A1464" s="9">
        <v>1462.0</v>
      </c>
      <c r="B1464" s="31">
        <v>43751.0</v>
      </c>
      <c r="C1464" s="32" t="s">
        <v>441</v>
      </c>
      <c r="D1464" s="11" t="s">
        <v>2697</v>
      </c>
      <c r="E1464" s="32">
        <v>4.47715383939E11</v>
      </c>
      <c r="F1464" s="34" t="s">
        <v>2698</v>
      </c>
      <c r="G1464" s="32" t="s">
        <v>176</v>
      </c>
      <c r="H1464" s="32" t="s">
        <v>206</v>
      </c>
      <c r="I1464" s="13"/>
      <c r="J1464" s="13"/>
      <c r="K1464" s="14"/>
      <c r="L1464" s="13"/>
      <c r="M1464" s="14"/>
      <c r="N1464" s="15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</row>
    <row r="1465">
      <c r="A1465" s="9">
        <v>1463.0</v>
      </c>
      <c r="B1465" s="31">
        <v>43755.0</v>
      </c>
      <c r="C1465" s="32" t="s">
        <v>2699</v>
      </c>
      <c r="D1465" s="11" t="s">
        <v>2700</v>
      </c>
      <c r="E1465" s="32">
        <v>6.585220344E9</v>
      </c>
      <c r="F1465" s="34" t="s">
        <v>2701</v>
      </c>
      <c r="G1465" s="32" t="s">
        <v>176</v>
      </c>
      <c r="H1465" s="32" t="s">
        <v>206</v>
      </c>
      <c r="I1465" s="13"/>
      <c r="J1465" s="13"/>
      <c r="K1465" s="14"/>
      <c r="L1465" s="13"/>
      <c r="M1465" s="14"/>
      <c r="N1465" s="15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</row>
    <row r="1466">
      <c r="A1466" s="9">
        <v>1464.0</v>
      </c>
      <c r="B1466" s="31">
        <v>43941.0</v>
      </c>
      <c r="C1466" s="32" t="s">
        <v>433</v>
      </c>
      <c r="D1466" s="11" t="s">
        <v>2702</v>
      </c>
      <c r="E1466" s="32">
        <v>9.71509958045E11</v>
      </c>
      <c r="F1466" s="34" t="s">
        <v>2703</v>
      </c>
      <c r="G1466" s="32" t="s">
        <v>176</v>
      </c>
      <c r="H1466" s="32" t="s">
        <v>206</v>
      </c>
      <c r="I1466" s="13"/>
      <c r="J1466" s="13"/>
      <c r="K1466" s="14"/>
      <c r="L1466" s="13"/>
      <c r="M1466" s="14"/>
      <c r="N1466" s="15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</row>
    <row r="1467">
      <c r="A1467" s="9">
        <v>1465.0</v>
      </c>
      <c r="B1467" s="31">
        <v>43941.0</v>
      </c>
      <c r="C1467" s="32" t="s">
        <v>433</v>
      </c>
      <c r="D1467" s="11" t="s">
        <v>2704</v>
      </c>
      <c r="E1467" s="32">
        <v>9.199471777E11</v>
      </c>
      <c r="F1467" s="34" t="s">
        <v>2705</v>
      </c>
      <c r="G1467" s="32" t="s">
        <v>176</v>
      </c>
      <c r="H1467" s="32" t="s">
        <v>81</v>
      </c>
      <c r="I1467" s="13"/>
      <c r="J1467" s="13"/>
      <c r="K1467" s="14"/>
      <c r="L1467" s="13"/>
      <c r="M1467" s="14"/>
      <c r="N1467" s="15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</row>
    <row r="1468">
      <c r="A1468" s="9">
        <v>1466.0</v>
      </c>
      <c r="B1468" s="37">
        <v>43941.0</v>
      </c>
      <c r="C1468" s="38" t="s">
        <v>2640</v>
      </c>
      <c r="D1468" s="11" t="s">
        <v>2706</v>
      </c>
      <c r="E1468" s="38">
        <v>9.66569202751E11</v>
      </c>
      <c r="F1468" s="34" t="s">
        <v>2707</v>
      </c>
      <c r="G1468" s="38" t="s">
        <v>181</v>
      </c>
      <c r="H1468" s="38" t="s">
        <v>206</v>
      </c>
      <c r="I1468" s="13"/>
      <c r="J1468" s="13"/>
      <c r="K1468" s="20"/>
      <c r="L1468" s="13"/>
      <c r="M1468" s="20"/>
      <c r="N1468" s="21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</row>
    <row r="1469">
      <c r="A1469" s="9">
        <v>1467.0</v>
      </c>
      <c r="B1469" s="31">
        <v>43792.0</v>
      </c>
      <c r="C1469" s="32" t="s">
        <v>456</v>
      </c>
      <c r="D1469" s="11" t="s">
        <v>2708</v>
      </c>
      <c r="E1469" s="33" t="str">
        <f>+91 (9819) 331-041</f>
        <v>#ERROR!</v>
      </c>
      <c r="F1469" s="34" t="s">
        <v>2709</v>
      </c>
      <c r="G1469" s="32" t="s">
        <v>176</v>
      </c>
      <c r="H1469" s="32" t="s">
        <v>206</v>
      </c>
      <c r="I1469" s="13"/>
      <c r="J1469" s="13"/>
      <c r="K1469" s="14"/>
      <c r="L1469" s="13"/>
      <c r="M1469" s="14"/>
      <c r="N1469" s="15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</row>
    <row r="1470">
      <c r="A1470" s="9">
        <v>1468.0</v>
      </c>
      <c r="B1470" s="31">
        <v>43799.0</v>
      </c>
      <c r="C1470" s="32" t="s">
        <v>2690</v>
      </c>
      <c r="D1470" s="11" t="s">
        <v>2710</v>
      </c>
      <c r="E1470" s="32">
        <v>4.407553708538E12</v>
      </c>
      <c r="F1470" s="34" t="s">
        <v>2711</v>
      </c>
      <c r="G1470" s="32" t="s">
        <v>176</v>
      </c>
      <c r="H1470" s="32" t="s">
        <v>206</v>
      </c>
      <c r="I1470" s="13"/>
      <c r="J1470" s="13"/>
      <c r="K1470" s="14"/>
      <c r="L1470" s="13"/>
      <c r="M1470" s="14"/>
      <c r="N1470" s="15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</row>
    <row r="1471">
      <c r="A1471" s="9">
        <v>1469.0</v>
      </c>
      <c r="B1471" s="31">
        <v>43771.0</v>
      </c>
      <c r="C1471" s="32" t="s">
        <v>2625</v>
      </c>
      <c r="D1471" s="11" t="s">
        <v>2712</v>
      </c>
      <c r="E1471" s="32">
        <v>6.28127012964E11</v>
      </c>
      <c r="F1471" s="34" t="s">
        <v>2713</v>
      </c>
      <c r="G1471" s="32" t="s">
        <v>176</v>
      </c>
      <c r="H1471" s="32" t="s">
        <v>41</v>
      </c>
      <c r="I1471" s="13"/>
      <c r="J1471" s="13"/>
      <c r="K1471" s="14"/>
      <c r="L1471" s="13"/>
      <c r="M1471" s="14"/>
      <c r="N1471" s="15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</row>
    <row r="1472">
      <c r="A1472" s="9">
        <v>1470.0</v>
      </c>
      <c r="B1472" s="31">
        <v>43775.0</v>
      </c>
      <c r="C1472" s="32" t="s">
        <v>456</v>
      </c>
      <c r="D1472" s="11" t="s">
        <v>2714</v>
      </c>
      <c r="E1472" s="32">
        <v>1.902877605E10</v>
      </c>
      <c r="F1472" s="34" t="s">
        <v>2715</v>
      </c>
      <c r="G1472" s="32" t="s">
        <v>176</v>
      </c>
      <c r="H1472" s="32" t="s">
        <v>81</v>
      </c>
      <c r="I1472" s="13"/>
      <c r="J1472" s="13"/>
      <c r="K1472" s="14"/>
      <c r="L1472" s="13"/>
      <c r="M1472" s="14"/>
      <c r="N1472" s="15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</row>
    <row r="1473">
      <c r="A1473" s="9">
        <v>1471.0</v>
      </c>
      <c r="B1473" s="31">
        <v>43761.0</v>
      </c>
      <c r="C1473" s="32" t="s">
        <v>2625</v>
      </c>
      <c r="D1473" s="11" t="s">
        <v>2716</v>
      </c>
      <c r="E1473" s="32">
        <v>2.348033888777E12</v>
      </c>
      <c r="F1473" s="34" t="s">
        <v>2717</v>
      </c>
      <c r="G1473" s="32" t="s">
        <v>423</v>
      </c>
      <c r="H1473" s="32" t="s">
        <v>206</v>
      </c>
      <c r="I1473" s="13"/>
      <c r="J1473" s="13"/>
      <c r="K1473" s="14"/>
      <c r="L1473" s="13"/>
      <c r="M1473" s="14"/>
      <c r="N1473" s="15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</row>
    <row r="1474">
      <c r="A1474" s="9">
        <v>1472.0</v>
      </c>
      <c r="B1474" s="31">
        <v>43941.0</v>
      </c>
      <c r="C1474" s="32" t="s">
        <v>438</v>
      </c>
      <c r="D1474" s="11" t="s">
        <v>2718</v>
      </c>
      <c r="E1474" s="32">
        <v>9.71506260902E11</v>
      </c>
      <c r="F1474" s="34" t="s">
        <v>2719</v>
      </c>
      <c r="G1474" s="32" t="s">
        <v>2516</v>
      </c>
      <c r="H1474" s="32" t="s">
        <v>206</v>
      </c>
      <c r="I1474" s="13"/>
      <c r="J1474" s="13"/>
      <c r="K1474" s="14"/>
      <c r="L1474" s="13"/>
      <c r="M1474" s="14"/>
      <c r="N1474" s="15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</row>
    <row r="1475">
      <c r="A1475" s="9">
        <v>1473.0</v>
      </c>
      <c r="B1475" s="31">
        <v>43941.0</v>
      </c>
      <c r="C1475" s="32" t="s">
        <v>2720</v>
      </c>
      <c r="D1475" s="11" t="s">
        <v>2721</v>
      </c>
      <c r="E1475" s="32">
        <v>9.71529630609E11</v>
      </c>
      <c r="F1475" s="34" t="s">
        <v>2722</v>
      </c>
      <c r="G1475" s="32" t="s">
        <v>2516</v>
      </c>
      <c r="H1475" s="32" t="s">
        <v>41</v>
      </c>
      <c r="I1475" s="13"/>
      <c r="J1475" s="13"/>
      <c r="K1475" s="14"/>
      <c r="L1475" s="13"/>
      <c r="M1475" s="14"/>
      <c r="N1475" s="15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</row>
    <row r="1476">
      <c r="A1476" s="9">
        <v>1474.0</v>
      </c>
      <c r="B1476" s="31">
        <v>43941.0</v>
      </c>
      <c r="C1476" s="32" t="s">
        <v>438</v>
      </c>
      <c r="D1476" s="11" t="s">
        <v>2723</v>
      </c>
      <c r="E1476" s="32">
        <v>9.66537746518E11</v>
      </c>
      <c r="F1476" s="34" t="s">
        <v>2724</v>
      </c>
      <c r="G1476" s="32" t="s">
        <v>176</v>
      </c>
      <c r="H1476" s="32" t="s">
        <v>206</v>
      </c>
      <c r="I1476" s="13"/>
      <c r="J1476" s="13"/>
      <c r="K1476" s="14"/>
      <c r="L1476" s="13"/>
      <c r="M1476" s="14"/>
      <c r="N1476" s="15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</row>
    <row r="1477">
      <c r="A1477" s="9">
        <v>1475.0</v>
      </c>
      <c r="B1477" s="31">
        <v>43941.0</v>
      </c>
      <c r="C1477" s="32" t="s">
        <v>438</v>
      </c>
      <c r="D1477" s="11" t="s">
        <v>2725</v>
      </c>
      <c r="E1477" s="32">
        <v>1.6475457575E10</v>
      </c>
      <c r="F1477" s="34" t="s">
        <v>2726</v>
      </c>
      <c r="G1477" s="32" t="s">
        <v>455</v>
      </c>
      <c r="H1477" s="32" t="s">
        <v>17</v>
      </c>
      <c r="I1477" s="13"/>
      <c r="J1477" s="13"/>
      <c r="K1477" s="14"/>
      <c r="L1477" s="13"/>
      <c r="M1477" s="14"/>
      <c r="N1477" s="15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</row>
    <row r="1478">
      <c r="A1478" s="9">
        <v>1476.0</v>
      </c>
      <c r="B1478" s="31">
        <v>43941.0</v>
      </c>
      <c r="C1478" s="32" t="s">
        <v>1510</v>
      </c>
      <c r="D1478" s="11" t="s">
        <v>2727</v>
      </c>
      <c r="E1478" s="32">
        <v>9.71561206246E11</v>
      </c>
      <c r="F1478" s="34" t="s">
        <v>2728</v>
      </c>
      <c r="G1478" s="32" t="s">
        <v>2668</v>
      </c>
      <c r="H1478" s="32" t="s">
        <v>41</v>
      </c>
      <c r="I1478" s="13"/>
      <c r="J1478" s="13"/>
      <c r="K1478" s="14"/>
      <c r="L1478" s="13"/>
      <c r="M1478" s="14"/>
      <c r="N1478" s="15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</row>
    <row r="1479">
      <c r="A1479" s="9">
        <v>1477.0</v>
      </c>
      <c r="B1479" s="31">
        <v>43941.0</v>
      </c>
      <c r="C1479" s="32" t="s">
        <v>420</v>
      </c>
      <c r="D1479" s="11" t="s">
        <v>2729</v>
      </c>
      <c r="E1479" s="32">
        <v>9.655522624E10</v>
      </c>
      <c r="F1479" s="34" t="s">
        <v>2730</v>
      </c>
      <c r="G1479" s="32" t="s">
        <v>35</v>
      </c>
      <c r="H1479" s="32" t="s">
        <v>41</v>
      </c>
      <c r="I1479" s="13"/>
      <c r="J1479" s="13"/>
      <c r="K1479" s="14"/>
      <c r="L1479" s="13"/>
      <c r="M1479" s="14"/>
      <c r="N1479" s="15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</row>
    <row r="1480">
      <c r="A1480" s="9">
        <v>1478.0</v>
      </c>
      <c r="B1480" s="31">
        <v>43784.0</v>
      </c>
      <c r="C1480" s="32" t="s">
        <v>420</v>
      </c>
      <c r="D1480" s="11" t="s">
        <v>2731</v>
      </c>
      <c r="E1480" s="32">
        <v>9.66551165933E11</v>
      </c>
      <c r="F1480" s="34" t="s">
        <v>2732</v>
      </c>
      <c r="G1480" s="32" t="s">
        <v>2733</v>
      </c>
      <c r="H1480" s="32" t="s">
        <v>206</v>
      </c>
      <c r="I1480" s="13"/>
      <c r="J1480" s="13"/>
      <c r="K1480" s="14"/>
      <c r="L1480" s="13"/>
      <c r="M1480" s="14"/>
      <c r="N1480" s="15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</row>
    <row r="1481">
      <c r="A1481" s="9">
        <v>1479.0</v>
      </c>
      <c r="B1481" s="31">
        <v>43744.0</v>
      </c>
      <c r="C1481" s="32" t="s">
        <v>441</v>
      </c>
      <c r="D1481" s="11" t="s">
        <v>2734</v>
      </c>
      <c r="E1481" s="32">
        <v>9.7150218036E11</v>
      </c>
      <c r="F1481" s="34" t="s">
        <v>2735</v>
      </c>
      <c r="G1481" s="32" t="s">
        <v>176</v>
      </c>
      <c r="H1481" s="32" t="s">
        <v>206</v>
      </c>
      <c r="I1481" s="13"/>
      <c r="J1481" s="13"/>
      <c r="K1481" s="14"/>
      <c r="L1481" s="13"/>
      <c r="M1481" s="14"/>
      <c r="N1481" s="15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</row>
    <row r="1482">
      <c r="A1482" s="9">
        <v>1480.0</v>
      </c>
      <c r="B1482" s="31">
        <v>43784.0</v>
      </c>
      <c r="C1482" s="32" t="s">
        <v>420</v>
      </c>
      <c r="D1482" s="11" t="s">
        <v>2736</v>
      </c>
      <c r="E1482" s="32">
        <v>4.47474720891E11</v>
      </c>
      <c r="F1482" s="34" t="s">
        <v>2737</v>
      </c>
      <c r="G1482" s="32" t="s">
        <v>149</v>
      </c>
      <c r="H1482" s="32" t="s">
        <v>206</v>
      </c>
      <c r="I1482" s="13"/>
      <c r="J1482" s="13"/>
      <c r="K1482" s="14"/>
      <c r="L1482" s="13"/>
      <c r="M1482" s="14"/>
      <c r="N1482" s="15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</row>
    <row r="1483">
      <c r="A1483" s="9">
        <v>1481.0</v>
      </c>
      <c r="B1483" s="31">
        <v>43941.0</v>
      </c>
      <c r="C1483" s="32" t="s">
        <v>438</v>
      </c>
      <c r="D1483" s="11" t="s">
        <v>2738</v>
      </c>
      <c r="E1483" s="32">
        <v>9.71554906134E11</v>
      </c>
      <c r="F1483" s="34" t="s">
        <v>2739</v>
      </c>
      <c r="G1483" s="32" t="s">
        <v>181</v>
      </c>
      <c r="H1483" s="32" t="s">
        <v>260</v>
      </c>
      <c r="I1483" s="13"/>
      <c r="J1483" s="13"/>
      <c r="K1483" s="14"/>
      <c r="L1483" s="13"/>
      <c r="M1483" s="14"/>
      <c r="N1483" s="15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</row>
    <row r="1484">
      <c r="A1484" s="9">
        <v>1482.0</v>
      </c>
      <c r="B1484" s="31">
        <v>43941.0</v>
      </c>
      <c r="C1484" s="32" t="s">
        <v>438</v>
      </c>
      <c r="D1484" s="11" t="s">
        <v>2740</v>
      </c>
      <c r="E1484" s="32" t="s">
        <v>2741</v>
      </c>
      <c r="F1484" s="34" t="s">
        <v>2742</v>
      </c>
      <c r="G1484" s="32" t="s">
        <v>181</v>
      </c>
      <c r="H1484" s="32" t="s">
        <v>260</v>
      </c>
      <c r="I1484" s="13"/>
      <c r="J1484" s="13"/>
      <c r="K1484" s="14"/>
      <c r="L1484" s="13"/>
      <c r="M1484" s="14"/>
      <c r="N1484" s="15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</row>
    <row r="1485">
      <c r="A1485" s="9">
        <v>1483.0</v>
      </c>
      <c r="B1485" s="31">
        <v>43941.0</v>
      </c>
      <c r="C1485" s="32" t="s">
        <v>433</v>
      </c>
      <c r="D1485" s="11" t="s">
        <v>2743</v>
      </c>
      <c r="E1485" s="32">
        <v>9.6566941528E10</v>
      </c>
      <c r="F1485" s="34" t="s">
        <v>2744</v>
      </c>
      <c r="G1485" s="32" t="s">
        <v>176</v>
      </c>
      <c r="H1485" s="32" t="s">
        <v>206</v>
      </c>
      <c r="I1485" s="13"/>
      <c r="J1485" s="13"/>
      <c r="K1485" s="14"/>
      <c r="L1485" s="13"/>
      <c r="M1485" s="14"/>
      <c r="N1485" s="15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</row>
    <row r="1486">
      <c r="A1486" s="9">
        <v>1484.0</v>
      </c>
      <c r="B1486" s="31">
        <v>43784.0</v>
      </c>
      <c r="C1486" s="32" t="s">
        <v>420</v>
      </c>
      <c r="D1486" s="11" t="s">
        <v>2745</v>
      </c>
      <c r="E1486" s="32">
        <v>9.71554779336E11</v>
      </c>
      <c r="F1486" s="34" t="s">
        <v>2746</v>
      </c>
      <c r="G1486" s="32" t="s">
        <v>2733</v>
      </c>
      <c r="H1486" s="32" t="s">
        <v>13</v>
      </c>
      <c r="I1486" s="13"/>
      <c r="J1486" s="13"/>
      <c r="K1486" s="14"/>
      <c r="L1486" s="13"/>
      <c r="M1486" s="14"/>
      <c r="N1486" s="15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</row>
    <row r="1487">
      <c r="A1487" s="9">
        <v>1485.0</v>
      </c>
      <c r="B1487" s="31">
        <v>43782.0</v>
      </c>
      <c r="C1487" s="32" t="s">
        <v>456</v>
      </c>
      <c r="D1487" s="11" t="s">
        <v>2747</v>
      </c>
      <c r="E1487" s="32">
        <v>9.23332318919E11</v>
      </c>
      <c r="F1487" s="34" t="s">
        <v>2748</v>
      </c>
      <c r="G1487" s="32" t="s">
        <v>417</v>
      </c>
      <c r="H1487" s="32" t="s">
        <v>41</v>
      </c>
      <c r="I1487" s="13"/>
      <c r="J1487" s="13"/>
      <c r="K1487" s="14"/>
      <c r="L1487" s="13"/>
      <c r="M1487" s="14"/>
      <c r="N1487" s="15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</row>
    <row r="1488">
      <c r="A1488" s="9">
        <v>1486.0</v>
      </c>
      <c r="B1488" s="31">
        <v>43796.0</v>
      </c>
      <c r="C1488" s="32" t="s">
        <v>420</v>
      </c>
      <c r="D1488" s="11" t="s">
        <v>2749</v>
      </c>
      <c r="E1488" s="32">
        <v>9.23008465043E11</v>
      </c>
      <c r="F1488" s="34" t="s">
        <v>2750</v>
      </c>
      <c r="G1488" s="32" t="s">
        <v>176</v>
      </c>
      <c r="H1488" s="32" t="s">
        <v>206</v>
      </c>
      <c r="I1488" s="13"/>
      <c r="J1488" s="13"/>
      <c r="K1488" s="14"/>
      <c r="L1488" s="13"/>
      <c r="M1488" s="14"/>
      <c r="N1488" s="15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</row>
    <row r="1489">
      <c r="A1489" s="9">
        <v>1487.0</v>
      </c>
      <c r="B1489" s="31">
        <v>43755.0</v>
      </c>
      <c r="C1489" s="32" t="s">
        <v>2699</v>
      </c>
      <c r="D1489" s="11" t="s">
        <v>2751</v>
      </c>
      <c r="E1489" s="32">
        <v>5.08421394E8</v>
      </c>
      <c r="F1489" s="34" t="s">
        <v>2752</v>
      </c>
      <c r="G1489" s="32" t="s">
        <v>35</v>
      </c>
      <c r="H1489" s="32" t="s">
        <v>206</v>
      </c>
      <c r="I1489" s="13"/>
      <c r="J1489" s="13"/>
      <c r="K1489" s="14"/>
      <c r="L1489" s="13"/>
      <c r="M1489" s="14"/>
      <c r="N1489" s="15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</row>
    <row r="1490">
      <c r="A1490" s="9">
        <v>1488.0</v>
      </c>
      <c r="B1490" s="31">
        <v>43941.0</v>
      </c>
      <c r="C1490" s="32" t="s">
        <v>2625</v>
      </c>
      <c r="D1490" s="11" t="s">
        <v>2753</v>
      </c>
      <c r="E1490" s="32">
        <v>2.60961222844E11</v>
      </c>
      <c r="F1490" s="34" t="s">
        <v>2754</v>
      </c>
      <c r="G1490" s="32" t="s">
        <v>2733</v>
      </c>
      <c r="H1490" s="32" t="s">
        <v>206</v>
      </c>
      <c r="I1490" s="13"/>
      <c r="J1490" s="13"/>
      <c r="K1490" s="14"/>
      <c r="L1490" s="13"/>
      <c r="M1490" s="14"/>
      <c r="N1490" s="15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</row>
    <row r="1491">
      <c r="A1491" s="9">
        <v>1489.0</v>
      </c>
      <c r="B1491" s="31">
        <v>43941.0</v>
      </c>
      <c r="C1491" s="32" t="s">
        <v>2537</v>
      </c>
      <c r="D1491" s="11" t="s">
        <v>2755</v>
      </c>
      <c r="E1491" s="32">
        <v>9.71504429869E11</v>
      </c>
      <c r="F1491" s="34" t="s">
        <v>2756</v>
      </c>
      <c r="G1491" s="32" t="s">
        <v>35</v>
      </c>
      <c r="H1491" s="32" t="s">
        <v>206</v>
      </c>
      <c r="I1491" s="13"/>
      <c r="J1491" s="13"/>
      <c r="K1491" s="14"/>
      <c r="L1491" s="13"/>
      <c r="M1491" s="14"/>
      <c r="N1491" s="15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</row>
    <row r="1492">
      <c r="A1492" s="9">
        <v>1490.0</v>
      </c>
      <c r="B1492" s="31">
        <v>43941.0</v>
      </c>
      <c r="C1492" s="32" t="s">
        <v>438</v>
      </c>
      <c r="D1492" s="11" t="s">
        <v>2757</v>
      </c>
      <c r="E1492" s="32">
        <v>9.71562426794E11</v>
      </c>
      <c r="F1492" s="34" t="s">
        <v>2758</v>
      </c>
      <c r="G1492" s="32" t="s">
        <v>176</v>
      </c>
      <c r="H1492" s="32" t="s">
        <v>260</v>
      </c>
      <c r="I1492" s="13"/>
      <c r="J1492" s="13"/>
      <c r="K1492" s="14"/>
      <c r="L1492" s="13"/>
      <c r="M1492" s="14"/>
      <c r="N1492" s="15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</row>
    <row r="1493">
      <c r="A1493" s="9">
        <v>1491.0</v>
      </c>
      <c r="B1493" s="31">
        <v>43941.0</v>
      </c>
      <c r="C1493" s="32" t="s">
        <v>433</v>
      </c>
      <c r="D1493" s="11" t="s">
        <v>2759</v>
      </c>
      <c r="E1493" s="32">
        <v>9.71503251285E11</v>
      </c>
      <c r="F1493" s="34" t="s">
        <v>2760</v>
      </c>
      <c r="G1493" s="32" t="s">
        <v>35</v>
      </c>
      <c r="H1493" s="32" t="s">
        <v>206</v>
      </c>
      <c r="I1493" s="13"/>
      <c r="J1493" s="13"/>
      <c r="K1493" s="14"/>
      <c r="L1493" s="13"/>
      <c r="M1493" s="14"/>
      <c r="N1493" s="15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</row>
    <row r="1494">
      <c r="A1494" s="9">
        <v>1492.0</v>
      </c>
      <c r="B1494" s="31">
        <v>43941.0</v>
      </c>
      <c r="C1494" s="32" t="s">
        <v>1510</v>
      </c>
      <c r="D1494" s="11" t="s">
        <v>2761</v>
      </c>
      <c r="E1494" s="32">
        <v>9.66555180222E11</v>
      </c>
      <c r="F1494" s="34" t="s">
        <v>2762</v>
      </c>
      <c r="G1494" s="32" t="s">
        <v>176</v>
      </c>
      <c r="H1494" s="32" t="s">
        <v>81</v>
      </c>
      <c r="I1494" s="13"/>
      <c r="J1494" s="13"/>
      <c r="K1494" s="14"/>
      <c r="L1494" s="13"/>
      <c r="M1494" s="14"/>
      <c r="N1494" s="15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</row>
    <row r="1495">
      <c r="A1495" s="9">
        <v>1493.0</v>
      </c>
      <c r="B1495" s="31">
        <v>43941.0</v>
      </c>
      <c r="C1495" s="32" t="s">
        <v>420</v>
      </c>
      <c r="D1495" s="11" t="s">
        <v>2763</v>
      </c>
      <c r="E1495" s="32" t="s">
        <v>410</v>
      </c>
      <c r="F1495" s="34" t="s">
        <v>2764</v>
      </c>
      <c r="G1495" s="32" t="s">
        <v>181</v>
      </c>
      <c r="H1495" s="32" t="s">
        <v>206</v>
      </c>
      <c r="I1495" s="13"/>
      <c r="J1495" s="13"/>
      <c r="K1495" s="14"/>
      <c r="L1495" s="13"/>
      <c r="M1495" s="14"/>
      <c r="N1495" s="15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</row>
    <row r="1496">
      <c r="A1496" s="9">
        <v>1494.0</v>
      </c>
      <c r="B1496" s="31">
        <v>43941.0</v>
      </c>
      <c r="C1496" s="32" t="s">
        <v>438</v>
      </c>
      <c r="D1496" s="11" t="s">
        <v>2765</v>
      </c>
      <c r="E1496" s="32">
        <v>9.66501335599E11</v>
      </c>
      <c r="F1496" s="34" t="s">
        <v>2766</v>
      </c>
      <c r="G1496" s="32" t="s">
        <v>2516</v>
      </c>
      <c r="H1496" s="32" t="s">
        <v>206</v>
      </c>
      <c r="I1496" s="13"/>
      <c r="J1496" s="13"/>
      <c r="K1496" s="14"/>
      <c r="L1496" s="13"/>
      <c r="M1496" s="14"/>
      <c r="N1496" s="15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</row>
    <row r="1497">
      <c r="A1497" s="9">
        <v>1495.0</v>
      </c>
      <c r="B1497" s="31">
        <v>43941.0</v>
      </c>
      <c r="C1497" s="32" t="s">
        <v>438</v>
      </c>
      <c r="D1497" s="11" t="s">
        <v>2767</v>
      </c>
      <c r="E1497" s="32">
        <v>9.71563838074E11</v>
      </c>
      <c r="F1497" s="34" t="s">
        <v>2646</v>
      </c>
      <c r="G1497" s="32" t="s">
        <v>2668</v>
      </c>
      <c r="H1497" s="32" t="s">
        <v>206</v>
      </c>
      <c r="I1497" s="13"/>
      <c r="J1497" s="13"/>
      <c r="K1497" s="14"/>
      <c r="L1497" s="13"/>
      <c r="M1497" s="14"/>
      <c r="N1497" s="15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</row>
    <row r="1498">
      <c r="A1498" s="9">
        <v>1496.0</v>
      </c>
      <c r="B1498" s="31">
        <v>43835.0</v>
      </c>
      <c r="C1498" s="32" t="s">
        <v>2690</v>
      </c>
      <c r="D1498" s="11" t="s">
        <v>2768</v>
      </c>
      <c r="E1498" s="32" t="s">
        <v>2769</v>
      </c>
      <c r="F1498" s="34" t="s">
        <v>2770</v>
      </c>
      <c r="G1498" s="32" t="s">
        <v>176</v>
      </c>
      <c r="H1498" s="32" t="s">
        <v>206</v>
      </c>
      <c r="I1498" s="13"/>
      <c r="J1498" s="13"/>
      <c r="K1498" s="14"/>
      <c r="L1498" s="13"/>
      <c r="M1498" s="14"/>
      <c r="N1498" s="15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</row>
    <row r="1499">
      <c r="A1499" s="9">
        <v>1497.0</v>
      </c>
      <c r="B1499" s="31">
        <v>43941.0</v>
      </c>
      <c r="C1499" s="32" t="s">
        <v>2537</v>
      </c>
      <c r="D1499" s="11" t="s">
        <v>2771</v>
      </c>
      <c r="E1499" s="32">
        <v>9.71507980054E11</v>
      </c>
      <c r="F1499" s="34" t="s">
        <v>2772</v>
      </c>
      <c r="G1499" s="32" t="s">
        <v>176</v>
      </c>
      <c r="H1499" s="32" t="s">
        <v>206</v>
      </c>
      <c r="I1499" s="13"/>
      <c r="J1499" s="13"/>
      <c r="K1499" s="14"/>
      <c r="L1499" s="13"/>
      <c r="M1499" s="14"/>
      <c r="N1499" s="15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</row>
    <row r="1500">
      <c r="A1500" s="9">
        <v>1498.0</v>
      </c>
      <c r="B1500" s="31">
        <v>43761.0</v>
      </c>
      <c r="C1500" s="32" t="s">
        <v>2773</v>
      </c>
      <c r="D1500" s="11" t="s">
        <v>2774</v>
      </c>
      <c r="E1500" s="32">
        <v>9.6872484215E10</v>
      </c>
      <c r="F1500" s="34" t="s">
        <v>2775</v>
      </c>
      <c r="G1500" s="32" t="s">
        <v>176</v>
      </c>
      <c r="H1500" s="32" t="s">
        <v>41</v>
      </c>
      <c r="I1500" s="13"/>
      <c r="J1500" s="13"/>
      <c r="K1500" s="14"/>
      <c r="L1500" s="13"/>
      <c r="M1500" s="14"/>
      <c r="N1500" s="15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</row>
    <row r="1501">
      <c r="A1501" s="9">
        <v>1499.0</v>
      </c>
      <c r="B1501" s="31">
        <v>43759.0</v>
      </c>
      <c r="C1501" s="32" t="s">
        <v>2776</v>
      </c>
      <c r="D1501" s="11" t="s">
        <v>2777</v>
      </c>
      <c r="E1501" s="32">
        <v>9.2321864362E11</v>
      </c>
      <c r="F1501" s="34" t="s">
        <v>2778</v>
      </c>
      <c r="G1501" s="32" t="s">
        <v>176</v>
      </c>
      <c r="H1501" s="32" t="s">
        <v>206</v>
      </c>
      <c r="I1501" s="13"/>
      <c r="J1501" s="13"/>
      <c r="K1501" s="14"/>
      <c r="L1501" s="13"/>
      <c r="M1501" s="14"/>
      <c r="N1501" s="15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</row>
    <row r="1502">
      <c r="A1502" s="9">
        <v>1500.0</v>
      </c>
      <c r="B1502" s="31">
        <v>43941.0</v>
      </c>
      <c r="C1502" s="32" t="s">
        <v>438</v>
      </c>
      <c r="D1502" s="11" t="s">
        <v>2779</v>
      </c>
      <c r="E1502" s="32">
        <v>9.710509312539E12</v>
      </c>
      <c r="F1502" s="34" t="s">
        <v>2780</v>
      </c>
      <c r="G1502" s="32" t="s">
        <v>2516</v>
      </c>
      <c r="H1502" s="32" t="s">
        <v>206</v>
      </c>
      <c r="I1502" s="13"/>
      <c r="J1502" s="13"/>
      <c r="K1502" s="14"/>
      <c r="L1502" s="13"/>
      <c r="M1502" s="14"/>
      <c r="N1502" s="15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</row>
    <row r="1503">
      <c r="A1503" s="9">
        <v>1501.0</v>
      </c>
      <c r="B1503" s="31">
        <v>43925.0</v>
      </c>
      <c r="C1503" s="32" t="s">
        <v>2640</v>
      </c>
      <c r="D1503" s="11" t="s">
        <v>2781</v>
      </c>
      <c r="E1503" s="32">
        <v>9.71588872734E11</v>
      </c>
      <c r="F1503" s="34" t="s">
        <v>2782</v>
      </c>
      <c r="G1503" s="32" t="s">
        <v>2516</v>
      </c>
      <c r="H1503" s="32" t="s">
        <v>206</v>
      </c>
      <c r="I1503" s="13"/>
      <c r="J1503" s="13"/>
      <c r="K1503" s="14"/>
      <c r="L1503" s="13"/>
      <c r="M1503" s="14"/>
      <c r="N1503" s="15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</row>
    <row r="1504">
      <c r="A1504" s="9">
        <v>1502.0</v>
      </c>
      <c r="B1504" s="31">
        <v>43799.0</v>
      </c>
      <c r="C1504" s="32" t="s">
        <v>2625</v>
      </c>
      <c r="D1504" s="11" t="s">
        <v>2783</v>
      </c>
      <c r="E1504" s="32">
        <v>9.66552701014E11</v>
      </c>
      <c r="F1504" s="34" t="s">
        <v>2784</v>
      </c>
      <c r="G1504" s="32" t="s">
        <v>176</v>
      </c>
      <c r="H1504" s="32" t="s">
        <v>81</v>
      </c>
      <c r="I1504" s="13"/>
      <c r="J1504" s="13"/>
      <c r="K1504" s="14"/>
      <c r="L1504" s="13"/>
      <c r="M1504" s="14"/>
      <c r="N1504" s="15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</row>
    <row r="1505">
      <c r="A1505" s="9">
        <v>1503.0</v>
      </c>
      <c r="B1505" s="31">
        <v>43790.0</v>
      </c>
      <c r="C1505" s="32" t="s">
        <v>420</v>
      </c>
      <c r="D1505" s="11" t="s">
        <v>2785</v>
      </c>
      <c r="E1505" s="32">
        <v>9.710553067425E12</v>
      </c>
      <c r="F1505" s="34" t="s">
        <v>2786</v>
      </c>
      <c r="G1505" s="32" t="s">
        <v>176</v>
      </c>
      <c r="H1505" s="32" t="s">
        <v>206</v>
      </c>
      <c r="I1505" s="13"/>
      <c r="J1505" s="13"/>
      <c r="K1505" s="14"/>
      <c r="L1505" s="13"/>
      <c r="M1505" s="14"/>
      <c r="N1505" s="15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</row>
    <row r="1506">
      <c r="A1506" s="9">
        <v>1504.0</v>
      </c>
      <c r="B1506" s="31">
        <v>43771.0</v>
      </c>
      <c r="C1506" s="32" t="s">
        <v>2625</v>
      </c>
      <c r="D1506" s="11" t="s">
        <v>2787</v>
      </c>
      <c r="E1506" s="32">
        <v>4.47775757877E11</v>
      </c>
      <c r="F1506" s="34" t="s">
        <v>2788</v>
      </c>
      <c r="G1506" s="32" t="s">
        <v>176</v>
      </c>
      <c r="H1506" s="32" t="s">
        <v>206</v>
      </c>
      <c r="I1506" s="13"/>
      <c r="J1506" s="13"/>
      <c r="K1506" s="14"/>
      <c r="L1506" s="13"/>
      <c r="M1506" s="14"/>
      <c r="N1506" s="15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</row>
    <row r="1507">
      <c r="A1507" s="9">
        <v>1505.0</v>
      </c>
      <c r="B1507" s="31">
        <v>43774.0</v>
      </c>
      <c r="C1507" s="32" t="s">
        <v>456</v>
      </c>
      <c r="D1507" s="11" t="s">
        <v>2789</v>
      </c>
      <c r="E1507" s="32">
        <v>7.950232997E9</v>
      </c>
      <c r="F1507" s="34" t="s">
        <v>2790</v>
      </c>
      <c r="G1507" s="32" t="s">
        <v>423</v>
      </c>
      <c r="H1507" s="32" t="s">
        <v>206</v>
      </c>
      <c r="I1507" s="13"/>
      <c r="J1507" s="13"/>
      <c r="K1507" s="14"/>
      <c r="L1507" s="13"/>
      <c r="M1507" s="14"/>
      <c r="N1507" s="15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</row>
    <row r="1508">
      <c r="A1508" s="9">
        <v>1506.0</v>
      </c>
      <c r="B1508" s="31">
        <v>43778.0</v>
      </c>
      <c r="C1508" s="32" t="s">
        <v>2537</v>
      </c>
      <c r="D1508" s="11" t="s">
        <v>2791</v>
      </c>
      <c r="E1508" s="32">
        <v>9.71529518421E11</v>
      </c>
      <c r="F1508" s="34" t="s">
        <v>2792</v>
      </c>
      <c r="G1508" s="32" t="s">
        <v>176</v>
      </c>
      <c r="H1508" s="32" t="s">
        <v>41</v>
      </c>
      <c r="I1508" s="13"/>
      <c r="J1508" s="13"/>
      <c r="K1508" s="14"/>
      <c r="L1508" s="13"/>
      <c r="M1508" s="14"/>
      <c r="N1508" s="15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</row>
    <row r="1509">
      <c r="A1509" s="9">
        <v>1507.0</v>
      </c>
      <c r="B1509" s="31">
        <v>43734.0</v>
      </c>
      <c r="C1509" s="32" t="s">
        <v>2793</v>
      </c>
      <c r="D1509" s="11" t="s">
        <v>2794</v>
      </c>
      <c r="E1509" s="32">
        <v>6.596524876E9</v>
      </c>
      <c r="F1509" s="34" t="s">
        <v>2795</v>
      </c>
      <c r="G1509" s="32" t="s">
        <v>35</v>
      </c>
      <c r="H1509" s="32" t="s">
        <v>206</v>
      </c>
      <c r="I1509" s="13"/>
      <c r="J1509" s="13"/>
      <c r="K1509" s="14"/>
      <c r="L1509" s="13"/>
      <c r="M1509" s="14"/>
      <c r="N1509" s="15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</row>
    <row r="1510">
      <c r="A1510" s="9">
        <v>1508.0</v>
      </c>
      <c r="B1510" s="31">
        <v>43941.0</v>
      </c>
      <c r="C1510" s="32" t="s">
        <v>2796</v>
      </c>
      <c r="D1510" s="11" t="s">
        <v>2797</v>
      </c>
      <c r="E1510" s="32">
        <v>9.71589186097E11</v>
      </c>
      <c r="F1510" s="34" t="s">
        <v>2798</v>
      </c>
      <c r="G1510" s="32" t="s">
        <v>2516</v>
      </c>
      <c r="H1510" s="32" t="s">
        <v>206</v>
      </c>
      <c r="I1510" s="13"/>
      <c r="J1510" s="13"/>
      <c r="K1510" s="14"/>
      <c r="L1510" s="13"/>
      <c r="M1510" s="14"/>
      <c r="N1510" s="15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</row>
    <row r="1511">
      <c r="A1511" s="9">
        <v>1509.0</v>
      </c>
      <c r="B1511" s="31">
        <v>43941.0</v>
      </c>
      <c r="C1511" s="32" t="s">
        <v>438</v>
      </c>
      <c r="D1511" s="11" t="s">
        <v>2799</v>
      </c>
      <c r="E1511" s="32">
        <v>9.71508738423E11</v>
      </c>
      <c r="F1511" s="34" t="s">
        <v>2800</v>
      </c>
      <c r="G1511" s="32" t="s">
        <v>2668</v>
      </c>
      <c r="H1511" s="32" t="s">
        <v>206</v>
      </c>
      <c r="I1511" s="13"/>
      <c r="J1511" s="13"/>
      <c r="K1511" s="14"/>
      <c r="L1511" s="13"/>
      <c r="M1511" s="14"/>
      <c r="N1511" s="15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</row>
    <row r="1512">
      <c r="A1512" s="9">
        <v>1510.0</v>
      </c>
      <c r="B1512" s="31">
        <v>43771.0</v>
      </c>
      <c r="C1512" s="32" t="s">
        <v>2625</v>
      </c>
      <c r="D1512" s="11" t="s">
        <v>2801</v>
      </c>
      <c r="E1512" s="32">
        <v>5.65381126E8</v>
      </c>
      <c r="F1512" s="34" t="s">
        <v>2802</v>
      </c>
      <c r="G1512" s="32" t="s">
        <v>176</v>
      </c>
      <c r="H1512" s="32" t="s">
        <v>206</v>
      </c>
      <c r="I1512" s="13"/>
      <c r="J1512" s="13"/>
      <c r="K1512" s="14"/>
      <c r="L1512" s="13"/>
      <c r="M1512" s="14"/>
      <c r="N1512" s="15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</row>
    <row r="1513">
      <c r="A1513" s="9">
        <v>1511.0</v>
      </c>
      <c r="B1513" s="31">
        <v>43751.0</v>
      </c>
      <c r="C1513" s="32" t="s">
        <v>441</v>
      </c>
      <c r="D1513" s="11" t="s">
        <v>2803</v>
      </c>
      <c r="E1513" s="32">
        <v>7.9521103333E10</v>
      </c>
      <c r="F1513" s="34" t="s">
        <v>2804</v>
      </c>
      <c r="G1513" s="32" t="s">
        <v>181</v>
      </c>
      <c r="H1513" s="32" t="s">
        <v>206</v>
      </c>
      <c r="I1513" s="13"/>
      <c r="J1513" s="13"/>
      <c r="K1513" s="14"/>
      <c r="L1513" s="13"/>
      <c r="M1513" s="14"/>
      <c r="N1513" s="15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</row>
    <row r="1514">
      <c r="A1514" s="9">
        <v>1512.0</v>
      </c>
      <c r="B1514" s="31">
        <v>43750.0</v>
      </c>
      <c r="C1514" s="32" t="s">
        <v>441</v>
      </c>
      <c r="D1514" s="11" t="s">
        <v>2805</v>
      </c>
      <c r="E1514" s="32">
        <v>4.407729379269E12</v>
      </c>
      <c r="F1514" s="34" t="s">
        <v>2806</v>
      </c>
      <c r="G1514" s="32" t="s">
        <v>176</v>
      </c>
      <c r="H1514" s="32" t="s">
        <v>206</v>
      </c>
      <c r="I1514" s="13"/>
      <c r="J1514" s="13"/>
      <c r="K1514" s="14"/>
      <c r="L1514" s="13"/>
      <c r="M1514" s="14"/>
      <c r="N1514" s="15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</row>
    <row r="1515">
      <c r="A1515" s="9">
        <v>1513.0</v>
      </c>
      <c r="B1515" s="31">
        <v>43776.0</v>
      </c>
      <c r="C1515" s="32" t="s">
        <v>420</v>
      </c>
      <c r="D1515" s="11" t="s">
        <v>2807</v>
      </c>
      <c r="E1515" s="32">
        <v>9.660559455699E12</v>
      </c>
      <c r="F1515" s="34" t="s">
        <v>2808</v>
      </c>
      <c r="G1515" s="32" t="s">
        <v>176</v>
      </c>
      <c r="H1515" s="32" t="s">
        <v>206</v>
      </c>
      <c r="I1515" s="13"/>
      <c r="J1515" s="13"/>
      <c r="K1515" s="14"/>
      <c r="L1515" s="13"/>
      <c r="M1515" s="14"/>
      <c r="N1515" s="15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</row>
    <row r="1516">
      <c r="A1516" s="9">
        <v>1514.0</v>
      </c>
      <c r="B1516" s="31">
        <v>43792.0</v>
      </c>
      <c r="C1516" s="32" t="s">
        <v>415</v>
      </c>
      <c r="D1516" s="11" t="s">
        <v>2809</v>
      </c>
      <c r="E1516" s="32">
        <v>9.66055363069E12</v>
      </c>
      <c r="F1516" s="34" t="s">
        <v>2810</v>
      </c>
      <c r="G1516" s="32" t="s">
        <v>2733</v>
      </c>
      <c r="H1516" s="32" t="s">
        <v>41</v>
      </c>
      <c r="I1516" s="13"/>
      <c r="J1516" s="13"/>
      <c r="K1516" s="14"/>
      <c r="L1516" s="13"/>
      <c r="M1516" s="14"/>
      <c r="N1516" s="15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</row>
    <row r="1517">
      <c r="A1517" s="9">
        <v>1515.0</v>
      </c>
      <c r="B1517" s="31">
        <v>43752.0</v>
      </c>
      <c r="C1517" s="32" t="s">
        <v>441</v>
      </c>
      <c r="D1517" s="11" t="s">
        <v>2811</v>
      </c>
      <c r="E1517" s="32">
        <v>9.71564943622E11</v>
      </c>
      <c r="F1517" s="34" t="s">
        <v>2812</v>
      </c>
      <c r="G1517" s="32" t="s">
        <v>176</v>
      </c>
      <c r="H1517" s="32" t="s">
        <v>206</v>
      </c>
      <c r="I1517" s="13"/>
      <c r="J1517" s="13"/>
      <c r="K1517" s="14"/>
      <c r="L1517" s="13"/>
      <c r="M1517" s="14"/>
      <c r="N1517" s="15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</row>
    <row r="1518">
      <c r="A1518" s="9">
        <v>1516.0</v>
      </c>
      <c r="B1518" s="31">
        <v>43710.0</v>
      </c>
      <c r="C1518" s="32" t="s">
        <v>2813</v>
      </c>
      <c r="D1518" s="11" t="s">
        <v>2814</v>
      </c>
      <c r="E1518" s="32">
        <v>7.799272777E9</v>
      </c>
      <c r="F1518" s="34" t="s">
        <v>2815</v>
      </c>
      <c r="G1518" s="32" t="s">
        <v>35</v>
      </c>
      <c r="H1518" s="32" t="s">
        <v>206</v>
      </c>
      <c r="I1518" s="13"/>
      <c r="J1518" s="13"/>
      <c r="K1518" s="14"/>
      <c r="L1518" s="13"/>
      <c r="M1518" s="14"/>
      <c r="N1518" s="15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</row>
    <row r="1519">
      <c r="A1519" s="9">
        <v>1517.0</v>
      </c>
      <c r="B1519" s="31">
        <v>43766.0</v>
      </c>
      <c r="C1519" s="32" t="s">
        <v>2625</v>
      </c>
      <c r="D1519" s="11" t="s">
        <v>2816</v>
      </c>
      <c r="E1519" s="32">
        <v>9.7156696151E11</v>
      </c>
      <c r="F1519" s="34" t="s">
        <v>2817</v>
      </c>
      <c r="G1519" s="32" t="s">
        <v>176</v>
      </c>
      <c r="H1519" s="32" t="s">
        <v>206</v>
      </c>
      <c r="I1519" s="13"/>
      <c r="J1519" s="13"/>
      <c r="K1519" s="14"/>
      <c r="L1519" s="13"/>
      <c r="M1519" s="14"/>
      <c r="N1519" s="15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</row>
    <row r="1520">
      <c r="A1520" s="9">
        <v>1518.0</v>
      </c>
      <c r="B1520" s="31">
        <v>43771.0</v>
      </c>
      <c r="C1520" s="32" t="s">
        <v>420</v>
      </c>
      <c r="D1520" s="11" t="s">
        <v>2818</v>
      </c>
      <c r="E1520" s="32">
        <v>9.71567128164E11</v>
      </c>
      <c r="F1520" s="34" t="s">
        <v>2819</v>
      </c>
      <c r="G1520" s="32" t="s">
        <v>149</v>
      </c>
      <c r="H1520" s="32" t="s">
        <v>206</v>
      </c>
      <c r="I1520" s="13"/>
      <c r="J1520" s="13"/>
      <c r="K1520" s="14"/>
      <c r="L1520" s="13"/>
      <c r="M1520" s="14"/>
      <c r="N1520" s="15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</row>
    <row r="1521">
      <c r="A1521" s="9">
        <v>1519.0</v>
      </c>
      <c r="B1521" s="31">
        <v>43792.0</v>
      </c>
      <c r="C1521" s="32" t="s">
        <v>456</v>
      </c>
      <c r="D1521" s="11" t="s">
        <v>2820</v>
      </c>
      <c r="E1521" s="32" t="s">
        <v>2821</v>
      </c>
      <c r="F1521" s="34" t="s">
        <v>2822</v>
      </c>
      <c r="G1521" s="32" t="s">
        <v>176</v>
      </c>
      <c r="H1521" s="32" t="s">
        <v>206</v>
      </c>
      <c r="I1521" s="13"/>
      <c r="J1521" s="13"/>
      <c r="K1521" s="14"/>
      <c r="L1521" s="13"/>
      <c r="M1521" s="14"/>
      <c r="N1521" s="15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</row>
    <row r="1522">
      <c r="A1522" s="9">
        <v>1520.0</v>
      </c>
      <c r="B1522" s="31">
        <v>43755.0</v>
      </c>
      <c r="C1522" s="32" t="s">
        <v>441</v>
      </c>
      <c r="D1522" s="11" t="s">
        <v>2823</v>
      </c>
      <c r="E1522" s="32">
        <v>9.66553490766E11</v>
      </c>
      <c r="F1522" s="34" t="s">
        <v>2824</v>
      </c>
      <c r="G1522" s="32" t="s">
        <v>176</v>
      </c>
      <c r="H1522" s="32" t="s">
        <v>206</v>
      </c>
      <c r="I1522" s="13"/>
      <c r="J1522" s="13"/>
      <c r="K1522" s="14"/>
      <c r="L1522" s="13"/>
      <c r="M1522" s="14"/>
      <c r="N1522" s="15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</row>
    <row r="1523">
      <c r="A1523" s="9">
        <v>1521.0</v>
      </c>
      <c r="B1523" s="31">
        <v>43783.0</v>
      </c>
      <c r="C1523" s="32" t="s">
        <v>456</v>
      </c>
      <c r="D1523" s="11" t="s">
        <v>2825</v>
      </c>
      <c r="E1523" s="32" t="s">
        <v>2826</v>
      </c>
      <c r="F1523" s="34" t="s">
        <v>2827</v>
      </c>
      <c r="G1523" s="32" t="s">
        <v>423</v>
      </c>
      <c r="H1523" s="32" t="s">
        <v>206</v>
      </c>
      <c r="I1523" s="13"/>
      <c r="J1523" s="13"/>
      <c r="K1523" s="14"/>
      <c r="L1523" s="13"/>
      <c r="M1523" s="14"/>
      <c r="N1523" s="15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</row>
    <row r="1524">
      <c r="A1524" s="9">
        <v>1522.0</v>
      </c>
      <c r="B1524" s="31">
        <v>43776.0</v>
      </c>
      <c r="C1524" s="32" t="s">
        <v>420</v>
      </c>
      <c r="D1524" s="11" t="s">
        <v>2828</v>
      </c>
      <c r="E1524" s="32">
        <v>4.47723914943E11</v>
      </c>
      <c r="F1524" s="34" t="s">
        <v>2829</v>
      </c>
      <c r="G1524" s="32" t="s">
        <v>176</v>
      </c>
      <c r="H1524" s="32" t="s">
        <v>81</v>
      </c>
      <c r="I1524" s="13"/>
      <c r="J1524" s="13"/>
      <c r="K1524" s="14"/>
      <c r="L1524" s="13"/>
      <c r="M1524" s="14"/>
      <c r="N1524" s="15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</row>
    <row r="1525">
      <c r="A1525" s="9">
        <v>1523.0</v>
      </c>
      <c r="B1525" s="31">
        <v>43698.0</v>
      </c>
      <c r="C1525" s="32" t="s">
        <v>2813</v>
      </c>
      <c r="D1525" s="11" t="s">
        <v>2830</v>
      </c>
      <c r="E1525" s="32">
        <v>9.19989444422E11</v>
      </c>
      <c r="F1525" s="34" t="s">
        <v>2831</v>
      </c>
      <c r="G1525" s="32" t="s">
        <v>35</v>
      </c>
      <c r="H1525" s="32" t="s">
        <v>206</v>
      </c>
      <c r="I1525" s="13"/>
      <c r="J1525" s="13"/>
      <c r="K1525" s="14"/>
      <c r="L1525" s="13"/>
      <c r="M1525" s="14"/>
      <c r="N1525" s="15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</row>
    <row r="1526">
      <c r="A1526" s="9">
        <v>1524.0</v>
      </c>
      <c r="B1526" s="31">
        <v>43941.0</v>
      </c>
      <c r="C1526" s="32" t="s">
        <v>1510</v>
      </c>
      <c r="D1526" s="11" t="s">
        <v>2832</v>
      </c>
      <c r="E1526" s="32">
        <v>9.71559862576E11</v>
      </c>
      <c r="F1526" s="34" t="s">
        <v>2833</v>
      </c>
      <c r="G1526" s="32" t="s">
        <v>181</v>
      </c>
      <c r="H1526" s="32" t="s">
        <v>260</v>
      </c>
      <c r="I1526" s="13"/>
      <c r="J1526" s="13"/>
      <c r="K1526" s="14"/>
      <c r="L1526" s="13"/>
      <c r="M1526" s="14"/>
      <c r="N1526" s="15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</row>
    <row r="1527">
      <c r="A1527" s="9">
        <v>1525.0</v>
      </c>
      <c r="B1527" s="31">
        <v>43781.0</v>
      </c>
      <c r="C1527" s="32" t="s">
        <v>456</v>
      </c>
      <c r="D1527" s="11" t="s">
        <v>2834</v>
      </c>
      <c r="E1527" s="32" t="s">
        <v>2835</v>
      </c>
      <c r="F1527" s="34" t="s">
        <v>2836</v>
      </c>
      <c r="G1527" s="32" t="s">
        <v>176</v>
      </c>
      <c r="H1527" s="32" t="s">
        <v>206</v>
      </c>
      <c r="I1527" s="13"/>
      <c r="J1527" s="13"/>
      <c r="K1527" s="14"/>
      <c r="L1527" s="13"/>
      <c r="M1527" s="14"/>
      <c r="N1527" s="15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</row>
    <row r="1528">
      <c r="A1528" s="9">
        <v>1526.0</v>
      </c>
      <c r="B1528" s="31">
        <v>43941.0</v>
      </c>
      <c r="C1528" s="32" t="s">
        <v>2625</v>
      </c>
      <c r="D1528" s="11" t="s">
        <v>2837</v>
      </c>
      <c r="E1528" s="32">
        <v>7.412328618E9</v>
      </c>
      <c r="F1528" s="34" t="s">
        <v>2838</v>
      </c>
      <c r="G1528" s="32" t="s">
        <v>423</v>
      </c>
      <c r="H1528" s="32" t="s">
        <v>206</v>
      </c>
      <c r="I1528" s="13"/>
      <c r="J1528" s="13"/>
      <c r="K1528" s="14"/>
      <c r="L1528" s="13"/>
      <c r="M1528" s="14"/>
      <c r="N1528" s="15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</row>
    <row r="1529">
      <c r="A1529" s="9">
        <v>1527.0</v>
      </c>
      <c r="B1529" s="31">
        <v>43820.0</v>
      </c>
      <c r="C1529" s="32" t="s">
        <v>2537</v>
      </c>
      <c r="D1529" s="11" t="s">
        <v>2839</v>
      </c>
      <c r="E1529" s="32">
        <v>9.66591000333E11</v>
      </c>
      <c r="F1529" s="34" t="s">
        <v>2840</v>
      </c>
      <c r="G1529" s="32" t="s">
        <v>176</v>
      </c>
      <c r="H1529" s="32" t="s">
        <v>81</v>
      </c>
      <c r="I1529" s="13"/>
      <c r="J1529" s="13"/>
      <c r="K1529" s="14"/>
      <c r="L1529" s="13"/>
      <c r="M1529" s="14"/>
      <c r="N1529" s="15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</row>
    <row r="1530">
      <c r="A1530" s="9">
        <v>1528.0</v>
      </c>
      <c r="B1530" s="31">
        <v>43774.0</v>
      </c>
      <c r="C1530" s="32" t="s">
        <v>456</v>
      </c>
      <c r="D1530" s="11" t="s">
        <v>2841</v>
      </c>
      <c r="E1530" s="32">
        <v>5.06243534E8</v>
      </c>
      <c r="F1530" s="34" t="s">
        <v>2842</v>
      </c>
      <c r="G1530" s="32" t="s">
        <v>2608</v>
      </c>
      <c r="H1530" s="32" t="s">
        <v>260</v>
      </c>
      <c r="I1530" s="13"/>
      <c r="J1530" s="13"/>
      <c r="K1530" s="14"/>
      <c r="L1530" s="13"/>
      <c r="M1530" s="14"/>
      <c r="N1530" s="15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</row>
    <row r="1531">
      <c r="A1531" s="9">
        <v>1529.0</v>
      </c>
      <c r="B1531" s="31">
        <v>43776.0</v>
      </c>
      <c r="C1531" s="32" t="s">
        <v>420</v>
      </c>
      <c r="D1531" s="11" t="s">
        <v>2843</v>
      </c>
      <c r="E1531" s="32">
        <v>9.710559306064E12</v>
      </c>
      <c r="F1531" s="34" t="s">
        <v>2844</v>
      </c>
      <c r="G1531" s="32" t="s">
        <v>149</v>
      </c>
      <c r="H1531" s="32" t="s">
        <v>206</v>
      </c>
      <c r="I1531" s="13"/>
      <c r="J1531" s="13"/>
      <c r="K1531" s="14"/>
      <c r="L1531" s="13"/>
      <c r="M1531" s="14"/>
      <c r="N1531" s="15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</row>
    <row r="1532">
      <c r="A1532" s="9">
        <v>1530.0</v>
      </c>
      <c r="B1532" s="31">
        <v>43751.0</v>
      </c>
      <c r="C1532" s="32" t="s">
        <v>441</v>
      </c>
      <c r="D1532" s="11" t="s">
        <v>2845</v>
      </c>
      <c r="E1532" s="32">
        <v>4.4740209993E11</v>
      </c>
      <c r="F1532" s="34" t="s">
        <v>2846</v>
      </c>
      <c r="G1532" s="32" t="s">
        <v>176</v>
      </c>
      <c r="H1532" s="32" t="s">
        <v>206</v>
      </c>
      <c r="I1532" s="13"/>
      <c r="J1532" s="13"/>
      <c r="K1532" s="14"/>
      <c r="L1532" s="13"/>
      <c r="M1532" s="14"/>
      <c r="N1532" s="15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</row>
    <row r="1533">
      <c r="A1533" s="9">
        <v>1531.0</v>
      </c>
      <c r="B1533" s="31">
        <v>43743.0</v>
      </c>
      <c r="C1533" s="32" t="s">
        <v>446</v>
      </c>
      <c r="D1533" s="11" t="s">
        <v>2847</v>
      </c>
      <c r="E1533" s="32">
        <v>9.6566993323E10</v>
      </c>
      <c r="F1533" s="34" t="s">
        <v>2848</v>
      </c>
      <c r="G1533" s="32" t="s">
        <v>176</v>
      </c>
      <c r="H1533" s="32" t="s">
        <v>206</v>
      </c>
      <c r="I1533" s="13"/>
      <c r="J1533" s="13"/>
      <c r="K1533" s="14"/>
      <c r="L1533" s="13"/>
      <c r="M1533" s="14"/>
      <c r="N1533" s="15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</row>
    <row r="1534">
      <c r="A1534" s="9">
        <v>1532.0</v>
      </c>
      <c r="B1534" s="31">
        <v>43711.0</v>
      </c>
      <c r="C1534" s="32" t="s">
        <v>2849</v>
      </c>
      <c r="D1534" s="11" t="s">
        <v>2850</v>
      </c>
      <c r="E1534" s="32">
        <v>9.8858322E9</v>
      </c>
      <c r="F1534" s="34" t="s">
        <v>2851</v>
      </c>
      <c r="G1534" s="32" t="s">
        <v>35</v>
      </c>
      <c r="H1534" s="32" t="s">
        <v>206</v>
      </c>
      <c r="I1534" s="13"/>
      <c r="J1534" s="13"/>
      <c r="K1534" s="14"/>
      <c r="L1534" s="13"/>
      <c r="M1534" s="14"/>
      <c r="N1534" s="15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</row>
    <row r="1535">
      <c r="A1535" s="9">
        <v>1533.0</v>
      </c>
      <c r="B1535" s="31">
        <v>43703.0</v>
      </c>
      <c r="C1535" s="32" t="s">
        <v>2849</v>
      </c>
      <c r="D1535" s="11" t="s">
        <v>2852</v>
      </c>
      <c r="E1535" s="32">
        <v>7.338553367E9</v>
      </c>
      <c r="F1535" s="34" t="s">
        <v>2853</v>
      </c>
      <c r="G1535" s="32" t="s">
        <v>35</v>
      </c>
      <c r="H1535" s="32" t="s">
        <v>206</v>
      </c>
      <c r="I1535" s="13"/>
      <c r="J1535" s="13"/>
      <c r="K1535" s="14"/>
      <c r="L1535" s="13"/>
      <c r="M1535" s="14"/>
      <c r="N1535" s="15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</row>
    <row r="1536">
      <c r="A1536" s="9">
        <v>1534.0</v>
      </c>
      <c r="B1536" s="31">
        <v>43941.0</v>
      </c>
      <c r="C1536" s="32" t="s">
        <v>2625</v>
      </c>
      <c r="D1536" s="11" t="s">
        <v>2854</v>
      </c>
      <c r="E1536" s="32">
        <v>4.47860836238E11</v>
      </c>
      <c r="F1536" s="34" t="s">
        <v>2855</v>
      </c>
      <c r="G1536" s="32" t="s">
        <v>176</v>
      </c>
      <c r="H1536" s="32" t="s">
        <v>41</v>
      </c>
      <c r="I1536" s="13"/>
      <c r="J1536" s="13"/>
      <c r="K1536" s="14"/>
      <c r="L1536" s="13"/>
      <c r="M1536" s="14"/>
      <c r="N1536" s="15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</row>
    <row r="1537">
      <c r="A1537" s="9">
        <v>1535.0</v>
      </c>
      <c r="B1537" s="31">
        <v>43753.0</v>
      </c>
      <c r="C1537" s="32" t="s">
        <v>441</v>
      </c>
      <c r="D1537" s="11" t="s">
        <v>2856</v>
      </c>
      <c r="E1537" s="32">
        <v>9.71509077096E11</v>
      </c>
      <c r="F1537" s="34" t="s">
        <v>2857</v>
      </c>
      <c r="G1537" s="32" t="s">
        <v>176</v>
      </c>
      <c r="H1537" s="32" t="s">
        <v>206</v>
      </c>
      <c r="I1537" s="13"/>
      <c r="J1537" s="13"/>
      <c r="K1537" s="14"/>
      <c r="L1537" s="13"/>
      <c r="M1537" s="14"/>
      <c r="N1537" s="15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</row>
    <row r="1538">
      <c r="A1538" s="9">
        <v>1536.0</v>
      </c>
      <c r="B1538" s="31">
        <v>43697.0</v>
      </c>
      <c r="C1538" s="32" t="s">
        <v>2813</v>
      </c>
      <c r="D1538" s="11" t="s">
        <v>2858</v>
      </c>
      <c r="E1538" s="32">
        <v>8.801915859E9</v>
      </c>
      <c r="F1538" s="34" t="s">
        <v>2859</v>
      </c>
      <c r="G1538" s="32" t="s">
        <v>35</v>
      </c>
      <c r="H1538" s="32" t="s">
        <v>206</v>
      </c>
      <c r="I1538" s="13"/>
      <c r="J1538" s="13"/>
      <c r="K1538" s="14"/>
      <c r="L1538" s="13"/>
      <c r="M1538" s="14"/>
      <c r="N1538" s="15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</row>
    <row r="1539">
      <c r="A1539" s="9">
        <v>1537.0</v>
      </c>
      <c r="B1539" s="31">
        <v>43941.0</v>
      </c>
      <c r="C1539" s="32" t="s">
        <v>438</v>
      </c>
      <c r="D1539" s="11" t="s">
        <v>2860</v>
      </c>
      <c r="E1539" s="32">
        <v>9.71553374477E11</v>
      </c>
      <c r="F1539" s="34" t="s">
        <v>2861</v>
      </c>
      <c r="G1539" s="32" t="s">
        <v>2668</v>
      </c>
      <c r="H1539" s="32" t="s">
        <v>206</v>
      </c>
      <c r="I1539" s="13"/>
      <c r="J1539" s="13"/>
      <c r="K1539" s="14"/>
      <c r="L1539" s="13"/>
      <c r="M1539" s="14"/>
      <c r="N1539" s="15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</row>
    <row r="1540">
      <c r="A1540" s="9">
        <v>1538.0</v>
      </c>
      <c r="B1540" s="31">
        <v>43685.0</v>
      </c>
      <c r="C1540" s="32" t="s">
        <v>2862</v>
      </c>
      <c r="D1540" s="11" t="s">
        <v>2863</v>
      </c>
      <c r="E1540" s="32">
        <v>9.71566356833E11</v>
      </c>
      <c r="F1540" s="34" t="s">
        <v>2864</v>
      </c>
      <c r="G1540" s="32" t="s">
        <v>176</v>
      </c>
      <c r="H1540" s="32" t="s">
        <v>206</v>
      </c>
      <c r="I1540" s="13"/>
      <c r="J1540" s="13"/>
      <c r="K1540" s="14"/>
      <c r="L1540" s="13"/>
      <c r="M1540" s="14"/>
      <c r="N1540" s="15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</row>
    <row r="1541">
      <c r="A1541" s="9">
        <v>1539.0</v>
      </c>
      <c r="B1541" s="31">
        <v>43750.0</v>
      </c>
      <c r="C1541" s="32" t="s">
        <v>441</v>
      </c>
      <c r="D1541" s="11" t="s">
        <v>2865</v>
      </c>
      <c r="E1541" s="32">
        <v>9.6597296385E10</v>
      </c>
      <c r="F1541" s="34" t="s">
        <v>2866</v>
      </c>
      <c r="G1541" s="32" t="s">
        <v>134</v>
      </c>
      <c r="H1541" s="32" t="s">
        <v>206</v>
      </c>
      <c r="I1541" s="13"/>
      <c r="J1541" s="13"/>
      <c r="K1541" s="14"/>
      <c r="L1541" s="13"/>
      <c r="M1541" s="14"/>
      <c r="N1541" s="15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</row>
    <row r="1542">
      <c r="A1542" s="9">
        <v>1540.0</v>
      </c>
      <c r="B1542" s="31">
        <v>43766.0</v>
      </c>
      <c r="C1542" s="32" t="s">
        <v>2625</v>
      </c>
      <c r="D1542" s="11" t="s">
        <v>2867</v>
      </c>
      <c r="E1542" s="32" t="s">
        <v>2868</v>
      </c>
      <c r="F1542" s="34" t="s">
        <v>2869</v>
      </c>
      <c r="G1542" s="32" t="s">
        <v>455</v>
      </c>
      <c r="H1542" s="32" t="s">
        <v>73</v>
      </c>
      <c r="I1542" s="13"/>
      <c r="J1542" s="13"/>
      <c r="K1542" s="14"/>
      <c r="L1542" s="13"/>
      <c r="M1542" s="14"/>
      <c r="N1542" s="15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</row>
    <row r="1543">
      <c r="A1543" s="9">
        <v>1541.0</v>
      </c>
      <c r="B1543" s="31">
        <v>43762.0</v>
      </c>
      <c r="C1543" s="32" t="s">
        <v>420</v>
      </c>
      <c r="D1543" s="11" t="s">
        <v>2870</v>
      </c>
      <c r="E1543" s="32">
        <v>9.23000200337E11</v>
      </c>
      <c r="F1543" s="34" t="s">
        <v>2871</v>
      </c>
      <c r="G1543" s="32" t="s">
        <v>176</v>
      </c>
      <c r="H1543" s="32" t="s">
        <v>81</v>
      </c>
      <c r="I1543" s="13"/>
      <c r="J1543" s="13"/>
      <c r="K1543" s="14"/>
      <c r="L1543" s="13"/>
      <c r="M1543" s="14"/>
      <c r="N1543" s="15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</row>
    <row r="1544">
      <c r="A1544" s="9">
        <v>1542.0</v>
      </c>
      <c r="B1544" s="31">
        <v>43765.0</v>
      </c>
      <c r="C1544" s="32" t="s">
        <v>420</v>
      </c>
      <c r="D1544" s="11" t="s">
        <v>2872</v>
      </c>
      <c r="E1544" s="32">
        <v>9.71554830761E11</v>
      </c>
      <c r="F1544" s="34" t="s">
        <v>2873</v>
      </c>
      <c r="G1544" s="32" t="s">
        <v>176</v>
      </c>
      <c r="H1544" s="32" t="s">
        <v>206</v>
      </c>
      <c r="I1544" s="13"/>
      <c r="J1544" s="13"/>
      <c r="K1544" s="14"/>
      <c r="L1544" s="13"/>
      <c r="M1544" s="14"/>
      <c r="N1544" s="15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</row>
    <row r="1545">
      <c r="A1545" s="9">
        <v>1543.0</v>
      </c>
      <c r="B1545" s="31">
        <v>43941.0</v>
      </c>
      <c r="C1545" s="32" t="s">
        <v>433</v>
      </c>
      <c r="D1545" s="11" t="s">
        <v>2874</v>
      </c>
      <c r="E1545" s="32">
        <v>9.660548934909E12</v>
      </c>
      <c r="F1545" s="34" t="s">
        <v>2875</v>
      </c>
      <c r="G1545" s="32" t="s">
        <v>176</v>
      </c>
      <c r="H1545" s="32" t="s">
        <v>260</v>
      </c>
      <c r="I1545" s="13"/>
      <c r="J1545" s="13"/>
      <c r="K1545" s="14"/>
      <c r="L1545" s="13"/>
      <c r="M1545" s="14"/>
      <c r="N1545" s="15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</row>
    <row r="1546">
      <c r="A1546" s="9">
        <v>1544.0</v>
      </c>
      <c r="B1546" s="31">
        <v>43766.0</v>
      </c>
      <c r="C1546" s="32" t="s">
        <v>2625</v>
      </c>
      <c r="D1546" s="11" t="s">
        <v>2876</v>
      </c>
      <c r="E1546" s="32">
        <v>9.660504148719E12</v>
      </c>
      <c r="F1546" s="34" t="s">
        <v>2877</v>
      </c>
      <c r="G1546" s="32" t="s">
        <v>176</v>
      </c>
      <c r="H1546" s="32" t="s">
        <v>206</v>
      </c>
      <c r="I1546" s="13"/>
      <c r="J1546" s="13"/>
      <c r="K1546" s="14"/>
      <c r="L1546" s="13"/>
      <c r="M1546" s="14"/>
      <c r="N1546" s="15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</row>
    <row r="1547">
      <c r="A1547" s="9">
        <v>1545.0</v>
      </c>
      <c r="B1547" s="31">
        <v>43783.0</v>
      </c>
      <c r="C1547" s="32" t="s">
        <v>420</v>
      </c>
      <c r="D1547" s="11" t="s">
        <v>2878</v>
      </c>
      <c r="E1547" s="32">
        <v>4.47984433308E11</v>
      </c>
      <c r="F1547" s="34" t="s">
        <v>2879</v>
      </c>
      <c r="G1547" s="32" t="s">
        <v>176</v>
      </c>
      <c r="H1547" s="32" t="s">
        <v>206</v>
      </c>
      <c r="I1547" s="13"/>
      <c r="J1547" s="13"/>
      <c r="K1547" s="14"/>
      <c r="L1547" s="13"/>
      <c r="M1547" s="14"/>
      <c r="N1547" s="15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</row>
    <row r="1548">
      <c r="A1548" s="9">
        <v>1546.0</v>
      </c>
      <c r="B1548" s="31">
        <v>43773.0</v>
      </c>
      <c r="C1548" s="32" t="s">
        <v>420</v>
      </c>
      <c r="D1548" s="11" t="s">
        <v>2880</v>
      </c>
      <c r="E1548" s="32">
        <v>4.47581304331E11</v>
      </c>
      <c r="F1548" s="34" t="s">
        <v>2881</v>
      </c>
      <c r="G1548" s="32" t="s">
        <v>149</v>
      </c>
      <c r="H1548" s="32" t="s">
        <v>206</v>
      </c>
      <c r="I1548" s="13"/>
      <c r="J1548" s="13"/>
      <c r="K1548" s="14"/>
      <c r="L1548" s="13"/>
      <c r="M1548" s="14"/>
      <c r="N1548" s="14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</row>
    <row r="1549">
      <c r="A1549" s="9">
        <v>1547.0</v>
      </c>
      <c r="B1549" s="31">
        <v>43755.0</v>
      </c>
      <c r="C1549" s="32" t="s">
        <v>2699</v>
      </c>
      <c r="D1549" s="11" t="s">
        <v>2882</v>
      </c>
      <c r="E1549" s="32">
        <v>2.01200022191E11</v>
      </c>
      <c r="F1549" s="34" t="s">
        <v>2883</v>
      </c>
      <c r="G1549" s="32" t="s">
        <v>35</v>
      </c>
      <c r="H1549" s="32" t="s">
        <v>206</v>
      </c>
      <c r="I1549" s="13"/>
      <c r="J1549" s="13"/>
      <c r="K1549" s="14"/>
      <c r="L1549" s="13"/>
      <c r="M1549" s="14"/>
      <c r="N1549" s="15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</row>
    <row r="1550">
      <c r="A1550" s="9">
        <v>1548.0</v>
      </c>
      <c r="B1550" s="31">
        <v>43744.0</v>
      </c>
      <c r="C1550" s="32" t="s">
        <v>441</v>
      </c>
      <c r="D1550" s="11" t="s">
        <v>2884</v>
      </c>
      <c r="E1550" s="32">
        <v>9.19819871555E11</v>
      </c>
      <c r="F1550" s="34" t="s">
        <v>2885</v>
      </c>
      <c r="G1550" s="32" t="s">
        <v>176</v>
      </c>
      <c r="H1550" s="32" t="s">
        <v>206</v>
      </c>
      <c r="I1550" s="13"/>
      <c r="J1550" s="13"/>
      <c r="K1550" s="14"/>
      <c r="L1550" s="13"/>
      <c r="M1550" s="14"/>
      <c r="N1550" s="15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</row>
    <row r="1551">
      <c r="A1551" s="9">
        <v>1549.0</v>
      </c>
      <c r="B1551" s="31">
        <v>43941.0</v>
      </c>
      <c r="C1551" s="32" t="s">
        <v>433</v>
      </c>
      <c r="D1551" s="11" t="s">
        <v>2886</v>
      </c>
      <c r="E1551" s="32">
        <v>9.710561629629E12</v>
      </c>
      <c r="F1551" s="34" t="s">
        <v>2887</v>
      </c>
      <c r="G1551" s="32" t="s">
        <v>176</v>
      </c>
      <c r="H1551" s="32" t="s">
        <v>206</v>
      </c>
      <c r="I1551" s="13"/>
      <c r="J1551" s="13"/>
      <c r="K1551" s="14"/>
      <c r="L1551" s="13"/>
      <c r="M1551" s="14"/>
      <c r="N1551" s="15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</row>
    <row r="1552">
      <c r="A1552" s="9">
        <v>1550.0</v>
      </c>
      <c r="B1552" s="31">
        <v>43941.0</v>
      </c>
      <c r="C1552" s="32" t="s">
        <v>438</v>
      </c>
      <c r="D1552" s="11" t="s">
        <v>2888</v>
      </c>
      <c r="E1552" s="32">
        <v>9.71557094221E11</v>
      </c>
      <c r="F1552" s="34" t="s">
        <v>2889</v>
      </c>
      <c r="G1552" s="32" t="s">
        <v>181</v>
      </c>
      <c r="H1552" s="32" t="s">
        <v>260</v>
      </c>
      <c r="I1552" s="13"/>
      <c r="J1552" s="13"/>
      <c r="K1552" s="14"/>
      <c r="L1552" s="13"/>
      <c r="M1552" s="14"/>
      <c r="N1552" s="15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</row>
    <row r="1553">
      <c r="A1553" s="9">
        <v>1551.0</v>
      </c>
      <c r="B1553" s="31">
        <v>43765.0</v>
      </c>
      <c r="C1553" s="32" t="s">
        <v>2625</v>
      </c>
      <c r="D1553" s="11" t="s">
        <v>2890</v>
      </c>
      <c r="E1553" s="32">
        <v>9.71502287563E11</v>
      </c>
      <c r="F1553" s="34" t="s">
        <v>2891</v>
      </c>
      <c r="G1553" s="32" t="s">
        <v>176</v>
      </c>
      <c r="H1553" s="32" t="s">
        <v>206</v>
      </c>
      <c r="I1553" s="13"/>
      <c r="J1553" s="13"/>
      <c r="K1553" s="14"/>
      <c r="L1553" s="13"/>
      <c r="M1553" s="14"/>
      <c r="N1553" s="15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</row>
    <row r="1554">
      <c r="A1554" s="9">
        <v>1552.0</v>
      </c>
      <c r="B1554" s="31">
        <v>43755.0</v>
      </c>
      <c r="C1554" s="32" t="s">
        <v>2699</v>
      </c>
      <c r="D1554" s="11" t="s">
        <v>2892</v>
      </c>
      <c r="E1554" s="32">
        <v>5.62713611E8</v>
      </c>
      <c r="F1554" s="34" t="s">
        <v>2893</v>
      </c>
      <c r="G1554" s="32" t="s">
        <v>35</v>
      </c>
      <c r="H1554" s="32" t="s">
        <v>206</v>
      </c>
      <c r="I1554" s="13"/>
      <c r="J1554" s="13"/>
      <c r="K1554" s="14"/>
      <c r="L1554" s="13"/>
      <c r="M1554" s="14"/>
      <c r="N1554" s="15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</row>
    <row r="1555">
      <c r="A1555" s="9">
        <v>1553.0</v>
      </c>
      <c r="B1555" s="31">
        <v>43941.0</v>
      </c>
      <c r="C1555" s="32" t="s">
        <v>2537</v>
      </c>
      <c r="D1555" s="11" t="s">
        <v>2894</v>
      </c>
      <c r="E1555" s="32">
        <v>9.05965352E9</v>
      </c>
      <c r="F1555" s="34" t="s">
        <v>2895</v>
      </c>
      <c r="G1555" s="32" t="s">
        <v>176</v>
      </c>
      <c r="H1555" s="32" t="s">
        <v>41</v>
      </c>
      <c r="I1555" s="13"/>
      <c r="J1555" s="13"/>
      <c r="K1555" s="14"/>
      <c r="L1555" s="13"/>
      <c r="M1555" s="14"/>
      <c r="N1555" s="15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</row>
    <row r="1556">
      <c r="A1556" s="9">
        <v>1554.0</v>
      </c>
      <c r="B1556" s="31">
        <v>43743.0</v>
      </c>
      <c r="C1556" s="32" t="s">
        <v>446</v>
      </c>
      <c r="D1556" s="11" t="s">
        <v>2896</v>
      </c>
      <c r="E1556" s="32">
        <v>9.71506409829E11</v>
      </c>
      <c r="F1556" s="34" t="s">
        <v>2897</v>
      </c>
      <c r="G1556" s="32" t="s">
        <v>134</v>
      </c>
      <c r="H1556" s="32" t="s">
        <v>206</v>
      </c>
      <c r="I1556" s="13"/>
      <c r="J1556" s="13"/>
      <c r="K1556" s="14"/>
      <c r="L1556" s="13"/>
      <c r="M1556" s="14"/>
      <c r="N1556" s="15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</row>
    <row r="1557">
      <c r="A1557" s="9">
        <v>1555.0</v>
      </c>
      <c r="B1557" s="31">
        <v>43703.0</v>
      </c>
      <c r="C1557" s="32" t="s">
        <v>2849</v>
      </c>
      <c r="D1557" s="11" t="s">
        <v>2898</v>
      </c>
      <c r="E1557" s="32">
        <v>6.301111538E9</v>
      </c>
      <c r="F1557" s="34" t="s">
        <v>2899</v>
      </c>
      <c r="G1557" s="32" t="s">
        <v>35</v>
      </c>
      <c r="H1557" s="32" t="s">
        <v>206</v>
      </c>
      <c r="I1557" s="13"/>
      <c r="J1557" s="13"/>
      <c r="K1557" s="14"/>
      <c r="L1557" s="13"/>
      <c r="M1557" s="14"/>
      <c r="N1557" s="15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</row>
    <row r="1558">
      <c r="A1558" s="9">
        <v>1556.0</v>
      </c>
      <c r="B1558" s="31">
        <v>43941.0</v>
      </c>
      <c r="C1558" s="32" t="s">
        <v>438</v>
      </c>
      <c r="D1558" s="11" t="s">
        <v>2900</v>
      </c>
      <c r="E1558" s="32">
        <v>9.710555521936E12</v>
      </c>
      <c r="F1558" s="34" t="s">
        <v>2901</v>
      </c>
      <c r="G1558" s="32" t="s">
        <v>2516</v>
      </c>
      <c r="H1558" s="32" t="s">
        <v>206</v>
      </c>
      <c r="I1558" s="13"/>
      <c r="J1558" s="13"/>
      <c r="K1558" s="14"/>
      <c r="L1558" s="13"/>
      <c r="M1558" s="14"/>
      <c r="N1558" s="15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</row>
    <row r="1559">
      <c r="A1559" s="9">
        <v>1557.0</v>
      </c>
      <c r="B1559" s="31">
        <v>43941.0</v>
      </c>
      <c r="C1559" s="32" t="s">
        <v>420</v>
      </c>
      <c r="D1559" s="11" t="s">
        <v>2902</v>
      </c>
      <c r="E1559" s="32">
        <v>9.66558305016E11</v>
      </c>
      <c r="F1559" s="34" t="s">
        <v>2903</v>
      </c>
      <c r="G1559" s="32" t="s">
        <v>2668</v>
      </c>
      <c r="H1559" s="32" t="s">
        <v>206</v>
      </c>
      <c r="I1559" s="13"/>
      <c r="J1559" s="13"/>
      <c r="K1559" s="14"/>
      <c r="L1559" s="13"/>
      <c r="M1559" s="14"/>
      <c r="N1559" s="15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</row>
    <row r="1560">
      <c r="A1560" s="9">
        <v>1558.0</v>
      </c>
      <c r="B1560" s="31">
        <v>43941.0</v>
      </c>
      <c r="C1560" s="32" t="s">
        <v>433</v>
      </c>
      <c r="D1560" s="11" t="s">
        <v>2904</v>
      </c>
      <c r="E1560" s="32">
        <v>9.710507548689E12</v>
      </c>
      <c r="F1560" s="34" t="s">
        <v>2905</v>
      </c>
      <c r="G1560" s="32" t="s">
        <v>2668</v>
      </c>
      <c r="H1560" s="32" t="s">
        <v>206</v>
      </c>
      <c r="I1560" s="13"/>
      <c r="J1560" s="13"/>
      <c r="K1560" s="14"/>
      <c r="L1560" s="13"/>
      <c r="M1560" s="14"/>
      <c r="N1560" s="15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</row>
    <row r="1561">
      <c r="A1561" s="9">
        <v>1559.0</v>
      </c>
      <c r="B1561" s="31">
        <v>43787.0</v>
      </c>
      <c r="C1561" s="32" t="s">
        <v>420</v>
      </c>
      <c r="D1561" s="11" t="s">
        <v>2906</v>
      </c>
      <c r="E1561" s="32">
        <v>9.66555370603E11</v>
      </c>
      <c r="F1561" s="34" t="s">
        <v>2907</v>
      </c>
      <c r="G1561" s="32" t="s">
        <v>35</v>
      </c>
      <c r="H1561" s="32" t="s">
        <v>206</v>
      </c>
      <c r="I1561" s="13"/>
      <c r="J1561" s="13"/>
      <c r="K1561" s="14"/>
      <c r="L1561" s="13"/>
      <c r="M1561" s="14"/>
      <c r="N1561" s="14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</row>
    <row r="1562">
      <c r="A1562" s="9">
        <v>1560.0</v>
      </c>
      <c r="B1562" s="31">
        <v>43787.0</v>
      </c>
      <c r="C1562" s="32" t="s">
        <v>420</v>
      </c>
      <c r="D1562" s="11" t="s">
        <v>2712</v>
      </c>
      <c r="E1562" s="32">
        <v>6.28127012964E11</v>
      </c>
      <c r="F1562" s="34" t="s">
        <v>2713</v>
      </c>
      <c r="G1562" s="32" t="s">
        <v>417</v>
      </c>
      <c r="H1562" s="32" t="s">
        <v>41</v>
      </c>
      <c r="I1562" s="13"/>
      <c r="J1562" s="13"/>
      <c r="K1562" s="14"/>
      <c r="L1562" s="13"/>
      <c r="M1562" s="14"/>
      <c r="N1562" s="14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</row>
    <row r="1563">
      <c r="A1563" s="9">
        <v>1561.0</v>
      </c>
      <c r="B1563" s="31">
        <v>43762.0</v>
      </c>
      <c r="C1563" s="32" t="s">
        <v>420</v>
      </c>
      <c r="D1563" s="11" t="s">
        <v>2908</v>
      </c>
      <c r="E1563" s="32">
        <v>4.47540744478E11</v>
      </c>
      <c r="F1563" s="34" t="s">
        <v>2909</v>
      </c>
      <c r="G1563" s="32" t="s">
        <v>176</v>
      </c>
      <c r="H1563" s="32" t="s">
        <v>206</v>
      </c>
      <c r="I1563" s="13"/>
      <c r="J1563" s="13"/>
      <c r="K1563" s="14"/>
      <c r="L1563" s="13"/>
      <c r="M1563" s="14"/>
      <c r="N1563" s="15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</row>
    <row r="1564">
      <c r="A1564" s="9">
        <v>1562.0</v>
      </c>
      <c r="B1564" s="31">
        <v>43752.0</v>
      </c>
      <c r="C1564" s="32" t="s">
        <v>441</v>
      </c>
      <c r="D1564" s="11" t="s">
        <v>2910</v>
      </c>
      <c r="E1564" s="32">
        <v>9.66506194748E11</v>
      </c>
      <c r="F1564" s="34" t="s">
        <v>2911</v>
      </c>
      <c r="G1564" s="32" t="s">
        <v>181</v>
      </c>
      <c r="H1564" s="32" t="s">
        <v>206</v>
      </c>
      <c r="I1564" s="13"/>
      <c r="J1564" s="13"/>
      <c r="K1564" s="14"/>
      <c r="L1564" s="13"/>
      <c r="M1564" s="14"/>
      <c r="N1564" s="15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</row>
    <row r="1565">
      <c r="A1565" s="9">
        <v>1563.0</v>
      </c>
      <c r="B1565" s="31">
        <v>43761.0</v>
      </c>
      <c r="C1565" s="32" t="s">
        <v>420</v>
      </c>
      <c r="D1565" s="11" t="s">
        <v>2912</v>
      </c>
      <c r="E1565" s="32">
        <v>9.617130308E10</v>
      </c>
      <c r="F1565" s="34" t="s">
        <v>2913</v>
      </c>
      <c r="G1565" s="32" t="s">
        <v>176</v>
      </c>
      <c r="H1565" s="32" t="s">
        <v>206</v>
      </c>
      <c r="I1565" s="13"/>
      <c r="J1565" s="13"/>
      <c r="K1565" s="14"/>
      <c r="L1565" s="13"/>
      <c r="M1565" s="14"/>
      <c r="N1565" s="15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</row>
    <row r="1566">
      <c r="A1566" s="9">
        <v>1564.0</v>
      </c>
      <c r="B1566" s="31">
        <v>43700.0</v>
      </c>
      <c r="C1566" s="32" t="s">
        <v>2849</v>
      </c>
      <c r="D1566" s="11" t="s">
        <v>2914</v>
      </c>
      <c r="E1566" s="32">
        <v>9.000487143E9</v>
      </c>
      <c r="F1566" s="34" t="s">
        <v>2915</v>
      </c>
      <c r="G1566" s="32" t="s">
        <v>35</v>
      </c>
      <c r="H1566" s="32" t="s">
        <v>206</v>
      </c>
      <c r="I1566" s="13"/>
      <c r="J1566" s="13"/>
      <c r="K1566" s="14"/>
      <c r="L1566" s="13"/>
      <c r="M1566" s="14"/>
      <c r="N1566" s="15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</row>
    <row r="1567">
      <c r="A1567" s="9">
        <v>1565.0</v>
      </c>
      <c r="B1567" s="31">
        <v>43941.0</v>
      </c>
      <c r="C1567" s="32" t="s">
        <v>433</v>
      </c>
      <c r="D1567" s="11" t="s">
        <v>2916</v>
      </c>
      <c r="E1567" s="32">
        <v>9.71529499158E11</v>
      </c>
      <c r="F1567" s="34" t="s">
        <v>2917</v>
      </c>
      <c r="G1567" s="32" t="s">
        <v>2516</v>
      </c>
      <c r="H1567" s="32" t="s">
        <v>206</v>
      </c>
      <c r="I1567" s="13"/>
      <c r="J1567" s="13"/>
      <c r="K1567" s="14"/>
      <c r="L1567" s="13"/>
      <c r="M1567" s="14"/>
      <c r="N1567" s="15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</row>
    <row r="1568">
      <c r="A1568" s="9">
        <v>1566.0</v>
      </c>
      <c r="B1568" s="37">
        <v>43700.0</v>
      </c>
      <c r="C1568" s="38" t="s">
        <v>2849</v>
      </c>
      <c r="D1568" s="11" t="s">
        <v>2918</v>
      </c>
      <c r="E1568" s="38">
        <v>9.391000034E9</v>
      </c>
      <c r="F1568" s="34" t="s">
        <v>2919</v>
      </c>
      <c r="G1568" s="38" t="s">
        <v>35</v>
      </c>
      <c r="H1568" s="38" t="s">
        <v>206</v>
      </c>
      <c r="I1568" s="13"/>
      <c r="J1568" s="13"/>
      <c r="K1568" s="20"/>
      <c r="L1568" s="13"/>
      <c r="M1568" s="20"/>
      <c r="N1568" s="21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</row>
    <row r="1569">
      <c r="A1569" s="9">
        <v>1567.0</v>
      </c>
      <c r="B1569" s="31">
        <v>43941.0</v>
      </c>
      <c r="C1569" s="32" t="s">
        <v>438</v>
      </c>
      <c r="D1569" s="11" t="s">
        <v>2508</v>
      </c>
      <c r="E1569" s="32">
        <v>9.66591143002E11</v>
      </c>
      <c r="F1569" s="34" t="s">
        <v>2509</v>
      </c>
      <c r="G1569" s="32" t="s">
        <v>2516</v>
      </c>
      <c r="H1569" s="32" t="s">
        <v>206</v>
      </c>
      <c r="I1569" s="13"/>
      <c r="J1569" s="13"/>
      <c r="K1569" s="14"/>
      <c r="L1569" s="13"/>
      <c r="M1569" s="14"/>
      <c r="N1569" s="15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</row>
    <row r="1570">
      <c r="A1570" s="9">
        <v>1568.0</v>
      </c>
      <c r="B1570" s="31">
        <v>43941.0</v>
      </c>
      <c r="C1570" s="32" t="s">
        <v>438</v>
      </c>
      <c r="D1570" s="11" t="s">
        <v>2920</v>
      </c>
      <c r="E1570" s="32">
        <v>5.04566777E8</v>
      </c>
      <c r="F1570" s="34" t="s">
        <v>2921</v>
      </c>
      <c r="G1570" s="32" t="s">
        <v>134</v>
      </c>
      <c r="H1570" s="32" t="s">
        <v>260</v>
      </c>
      <c r="I1570" s="13"/>
      <c r="J1570" s="13"/>
      <c r="K1570" s="14"/>
      <c r="L1570" s="13"/>
      <c r="M1570" s="14"/>
      <c r="N1570" s="15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</row>
    <row r="1571">
      <c r="A1571" s="9">
        <v>1569.0</v>
      </c>
      <c r="B1571" s="31">
        <v>43795.0</v>
      </c>
      <c r="C1571" s="32" t="s">
        <v>2625</v>
      </c>
      <c r="D1571" s="11" t="s">
        <v>2922</v>
      </c>
      <c r="E1571" s="32">
        <v>4.47891363776E11</v>
      </c>
      <c r="F1571" s="34" t="s">
        <v>2923</v>
      </c>
      <c r="G1571" s="32" t="s">
        <v>176</v>
      </c>
      <c r="H1571" s="32" t="s">
        <v>206</v>
      </c>
      <c r="I1571" s="13"/>
      <c r="J1571" s="13"/>
      <c r="K1571" s="14"/>
      <c r="L1571" s="13"/>
      <c r="M1571" s="14"/>
      <c r="N1571" s="15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</row>
    <row r="1572">
      <c r="A1572" s="9">
        <v>1570.0</v>
      </c>
      <c r="B1572" s="31">
        <v>43754.0</v>
      </c>
      <c r="C1572" s="32" t="s">
        <v>441</v>
      </c>
      <c r="D1572" s="11" t="s">
        <v>2924</v>
      </c>
      <c r="E1572" s="32">
        <v>9.19773477811E11</v>
      </c>
      <c r="F1572" s="34" t="s">
        <v>2925</v>
      </c>
      <c r="G1572" s="32" t="s">
        <v>181</v>
      </c>
      <c r="H1572" s="32" t="s">
        <v>260</v>
      </c>
      <c r="I1572" s="13"/>
      <c r="J1572" s="13"/>
      <c r="K1572" s="14"/>
      <c r="L1572" s="13"/>
      <c r="M1572" s="14"/>
      <c r="N1572" s="15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</row>
    <row r="1573">
      <c r="A1573" s="9">
        <v>1571.0</v>
      </c>
      <c r="B1573" s="31">
        <v>43803.0</v>
      </c>
      <c r="C1573" s="32" t="s">
        <v>2690</v>
      </c>
      <c r="D1573" s="11" t="s">
        <v>2926</v>
      </c>
      <c r="E1573" s="32">
        <v>9.710508583473E12</v>
      </c>
      <c r="F1573" s="34" t="s">
        <v>2927</v>
      </c>
      <c r="G1573" s="32" t="s">
        <v>35</v>
      </c>
      <c r="H1573" s="32" t="s">
        <v>206</v>
      </c>
      <c r="I1573" s="13"/>
      <c r="J1573" s="13"/>
      <c r="K1573" s="14"/>
      <c r="L1573" s="13"/>
      <c r="M1573" s="14"/>
      <c r="N1573" s="15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</row>
    <row r="1574">
      <c r="A1574" s="9">
        <v>1572.0</v>
      </c>
      <c r="B1574" s="31">
        <v>43758.0</v>
      </c>
      <c r="C1574" s="32" t="s">
        <v>2690</v>
      </c>
      <c r="D1574" s="11" t="s">
        <v>2928</v>
      </c>
      <c r="E1574" s="32">
        <v>9.23218447448E11</v>
      </c>
      <c r="F1574" s="34" t="s">
        <v>2929</v>
      </c>
      <c r="G1574" s="32" t="s">
        <v>2733</v>
      </c>
      <c r="H1574" s="32" t="s">
        <v>206</v>
      </c>
      <c r="I1574" s="13"/>
      <c r="J1574" s="13"/>
      <c r="K1574" s="14"/>
      <c r="L1574" s="13"/>
      <c r="M1574" s="14"/>
      <c r="N1574" s="15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</row>
    <row r="1575">
      <c r="A1575" s="9">
        <v>1573.0</v>
      </c>
      <c r="B1575" s="31">
        <v>43743.0</v>
      </c>
      <c r="C1575" s="32" t="s">
        <v>446</v>
      </c>
      <c r="D1575" s="11" t="s">
        <v>2930</v>
      </c>
      <c r="E1575" s="32">
        <v>9.62799998995E11</v>
      </c>
      <c r="F1575" s="34" t="s">
        <v>2931</v>
      </c>
      <c r="G1575" s="32" t="s">
        <v>176</v>
      </c>
      <c r="H1575" s="32" t="s">
        <v>206</v>
      </c>
      <c r="I1575" s="13"/>
      <c r="J1575" s="13"/>
      <c r="K1575" s="14"/>
      <c r="L1575" s="13"/>
      <c r="M1575" s="14"/>
      <c r="N1575" s="15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</row>
    <row r="1576">
      <c r="A1576" s="9">
        <v>1574.0</v>
      </c>
      <c r="B1576" s="31">
        <v>43685.0</v>
      </c>
      <c r="C1576" s="32" t="s">
        <v>2862</v>
      </c>
      <c r="D1576" s="11" t="s">
        <v>2932</v>
      </c>
      <c r="E1576" s="32">
        <v>7.93619193E9</v>
      </c>
      <c r="F1576" s="34" t="s">
        <v>2933</v>
      </c>
      <c r="G1576" s="32" t="s">
        <v>176</v>
      </c>
      <c r="H1576" s="32" t="s">
        <v>206</v>
      </c>
      <c r="I1576" s="13"/>
      <c r="J1576" s="13"/>
      <c r="K1576" s="14"/>
      <c r="L1576" s="13"/>
      <c r="M1576" s="14"/>
      <c r="N1576" s="15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</row>
    <row r="1577">
      <c r="A1577" s="9">
        <v>1575.0</v>
      </c>
      <c r="B1577" s="31">
        <v>43941.0</v>
      </c>
      <c r="C1577" s="32" t="s">
        <v>2537</v>
      </c>
      <c r="D1577" s="11" t="s">
        <v>2934</v>
      </c>
      <c r="E1577" s="32">
        <v>9.66509954422E11</v>
      </c>
      <c r="F1577" s="34" t="s">
        <v>2935</v>
      </c>
      <c r="G1577" s="32" t="s">
        <v>176</v>
      </c>
      <c r="H1577" s="32" t="s">
        <v>206</v>
      </c>
      <c r="I1577" s="13"/>
      <c r="J1577" s="13"/>
      <c r="K1577" s="14"/>
      <c r="L1577" s="13"/>
      <c r="M1577" s="14"/>
      <c r="N1577" s="15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</row>
    <row r="1578">
      <c r="A1578" s="9">
        <v>1576.0</v>
      </c>
      <c r="B1578" s="31">
        <v>43941.0</v>
      </c>
      <c r="C1578" s="32" t="s">
        <v>1510</v>
      </c>
      <c r="D1578" s="11" t="s">
        <v>2936</v>
      </c>
      <c r="E1578" s="32">
        <v>9.71506243625E11</v>
      </c>
      <c r="F1578" s="34" t="s">
        <v>2937</v>
      </c>
      <c r="G1578" s="32" t="s">
        <v>35</v>
      </c>
      <c r="H1578" s="32" t="s">
        <v>206</v>
      </c>
      <c r="I1578" s="13"/>
      <c r="J1578" s="13"/>
      <c r="K1578" s="14"/>
      <c r="L1578" s="13"/>
      <c r="M1578" s="14"/>
      <c r="N1578" s="15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</row>
    <row r="1579">
      <c r="A1579" s="9">
        <v>1577.0</v>
      </c>
      <c r="B1579" s="31">
        <v>43771.0</v>
      </c>
      <c r="C1579" s="32" t="s">
        <v>2625</v>
      </c>
      <c r="D1579" s="11" t="s">
        <v>2938</v>
      </c>
      <c r="E1579" s="32">
        <v>9.23009248841E11</v>
      </c>
      <c r="F1579" s="34" t="s">
        <v>2939</v>
      </c>
      <c r="G1579" s="32" t="s">
        <v>176</v>
      </c>
      <c r="H1579" s="32" t="s">
        <v>206</v>
      </c>
      <c r="I1579" s="13"/>
      <c r="J1579" s="13"/>
      <c r="K1579" s="14"/>
      <c r="L1579" s="13"/>
      <c r="M1579" s="14"/>
      <c r="N1579" s="15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</row>
    <row r="1580">
      <c r="A1580" s="9">
        <v>1578.0</v>
      </c>
      <c r="B1580" s="31">
        <v>43700.0</v>
      </c>
      <c r="C1580" s="32" t="s">
        <v>2849</v>
      </c>
      <c r="D1580" s="11" t="s">
        <v>2940</v>
      </c>
      <c r="E1580" s="32">
        <v>8.978403944E9</v>
      </c>
      <c r="F1580" s="34" t="s">
        <v>2941</v>
      </c>
      <c r="G1580" s="32" t="s">
        <v>35</v>
      </c>
      <c r="H1580" s="32" t="s">
        <v>206</v>
      </c>
      <c r="I1580" s="13"/>
      <c r="J1580" s="13"/>
      <c r="K1580" s="14"/>
      <c r="L1580" s="13"/>
      <c r="M1580" s="14"/>
      <c r="N1580" s="15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</row>
    <row r="1581">
      <c r="A1581" s="9">
        <v>1579.0</v>
      </c>
      <c r="B1581" s="31">
        <v>43699.0</v>
      </c>
      <c r="C1581" s="32" t="s">
        <v>2849</v>
      </c>
      <c r="D1581" s="11" t="s">
        <v>2942</v>
      </c>
      <c r="E1581" s="32">
        <v>9.18897834569E11</v>
      </c>
      <c r="F1581" s="34" t="s">
        <v>2943</v>
      </c>
      <c r="G1581" s="32" t="s">
        <v>35</v>
      </c>
      <c r="H1581" s="32" t="s">
        <v>206</v>
      </c>
      <c r="I1581" s="13"/>
      <c r="J1581" s="13"/>
      <c r="K1581" s="14"/>
      <c r="L1581" s="13"/>
      <c r="M1581" s="14"/>
      <c r="N1581" s="15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</row>
    <row r="1582">
      <c r="A1582" s="9">
        <v>1580.0</v>
      </c>
      <c r="B1582" s="31">
        <v>43709.0</v>
      </c>
      <c r="C1582" s="32" t="s">
        <v>2944</v>
      </c>
      <c r="D1582" s="11" t="s">
        <v>2945</v>
      </c>
      <c r="E1582" s="32">
        <v>5.28006744E8</v>
      </c>
      <c r="F1582" s="34" t="s">
        <v>2946</v>
      </c>
      <c r="G1582" s="32" t="s">
        <v>423</v>
      </c>
      <c r="H1582" s="32" t="s">
        <v>17</v>
      </c>
      <c r="I1582" s="13"/>
      <c r="J1582" s="13"/>
      <c r="K1582" s="14"/>
      <c r="L1582" s="13"/>
      <c r="M1582" s="14"/>
      <c r="N1582" s="15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</row>
    <row r="1583">
      <c r="A1583" s="9">
        <v>1581.0</v>
      </c>
      <c r="B1583" s="31">
        <v>43941.0</v>
      </c>
      <c r="C1583" s="32" t="s">
        <v>438</v>
      </c>
      <c r="D1583" s="11" t="s">
        <v>2656</v>
      </c>
      <c r="E1583" s="32">
        <v>5.85580308E8</v>
      </c>
      <c r="F1583" s="34" t="s">
        <v>2657</v>
      </c>
      <c r="G1583" s="32" t="s">
        <v>176</v>
      </c>
      <c r="H1583" s="32" t="s">
        <v>206</v>
      </c>
      <c r="I1583" s="13"/>
      <c r="J1583" s="13"/>
      <c r="K1583" s="14"/>
      <c r="L1583" s="13"/>
      <c r="M1583" s="14"/>
      <c r="N1583" s="15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</row>
    <row r="1584">
      <c r="A1584" s="9">
        <v>1582.0</v>
      </c>
      <c r="B1584" s="31">
        <v>43941.0</v>
      </c>
      <c r="C1584" s="32" t="s">
        <v>438</v>
      </c>
      <c r="D1584" s="11" t="s">
        <v>2947</v>
      </c>
      <c r="E1584" s="32">
        <v>9.71567458952E11</v>
      </c>
      <c r="F1584" s="34" t="s">
        <v>2948</v>
      </c>
      <c r="G1584" s="32" t="s">
        <v>181</v>
      </c>
      <c r="H1584" s="32" t="s">
        <v>260</v>
      </c>
      <c r="I1584" s="13"/>
      <c r="J1584" s="13"/>
      <c r="K1584" s="14"/>
      <c r="L1584" s="13"/>
      <c r="M1584" s="14"/>
      <c r="N1584" s="15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</row>
    <row r="1585">
      <c r="A1585" s="9">
        <v>1583.0</v>
      </c>
      <c r="B1585" s="31">
        <v>43941.0</v>
      </c>
      <c r="C1585" s="32" t="s">
        <v>433</v>
      </c>
      <c r="D1585" s="11" t="s">
        <v>2949</v>
      </c>
      <c r="E1585" s="32">
        <v>9.71502811575E11</v>
      </c>
      <c r="F1585" s="34" t="s">
        <v>2950</v>
      </c>
      <c r="G1585" s="32" t="s">
        <v>2516</v>
      </c>
      <c r="H1585" s="32" t="s">
        <v>206</v>
      </c>
      <c r="I1585" s="13"/>
      <c r="J1585" s="13"/>
      <c r="K1585" s="14"/>
      <c r="L1585" s="13"/>
      <c r="M1585" s="14"/>
      <c r="N1585" s="15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</row>
    <row r="1586">
      <c r="A1586" s="9">
        <v>1584.0</v>
      </c>
      <c r="B1586" s="31">
        <v>43941.0</v>
      </c>
      <c r="C1586" s="32" t="s">
        <v>438</v>
      </c>
      <c r="D1586" s="11" t="s">
        <v>2951</v>
      </c>
      <c r="E1586" s="32">
        <v>5.61792212E8</v>
      </c>
      <c r="F1586" s="34" t="s">
        <v>2952</v>
      </c>
      <c r="G1586" s="32" t="s">
        <v>2516</v>
      </c>
      <c r="H1586" s="32" t="s">
        <v>41</v>
      </c>
      <c r="I1586" s="13"/>
      <c r="J1586" s="13"/>
      <c r="K1586" s="14"/>
      <c r="L1586" s="13"/>
      <c r="M1586" s="14"/>
      <c r="N1586" s="15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</row>
    <row r="1587">
      <c r="A1587" s="9">
        <v>1585.0</v>
      </c>
      <c r="B1587" s="31">
        <v>43941.0</v>
      </c>
      <c r="C1587" s="32" t="s">
        <v>438</v>
      </c>
      <c r="D1587" s="11" t="s">
        <v>2953</v>
      </c>
      <c r="E1587" s="32">
        <v>9.71507390187E11</v>
      </c>
      <c r="F1587" s="34" t="s">
        <v>2954</v>
      </c>
      <c r="G1587" s="32" t="s">
        <v>2516</v>
      </c>
      <c r="H1587" s="32" t="s">
        <v>206</v>
      </c>
      <c r="I1587" s="13"/>
      <c r="J1587" s="13"/>
      <c r="K1587" s="14"/>
      <c r="L1587" s="13"/>
      <c r="M1587" s="14"/>
      <c r="N1587" s="15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</row>
    <row r="1588">
      <c r="A1588" s="9">
        <v>1586.0</v>
      </c>
      <c r="B1588" s="31">
        <v>43941.0</v>
      </c>
      <c r="C1588" s="32" t="s">
        <v>438</v>
      </c>
      <c r="D1588" s="11" t="s">
        <v>2955</v>
      </c>
      <c r="E1588" s="32">
        <v>9.710526669136E12</v>
      </c>
      <c r="F1588" s="34" t="s">
        <v>2956</v>
      </c>
      <c r="G1588" s="32" t="s">
        <v>35</v>
      </c>
      <c r="H1588" s="32" t="s">
        <v>41</v>
      </c>
      <c r="I1588" s="13"/>
      <c r="J1588" s="13"/>
      <c r="K1588" s="14"/>
      <c r="L1588" s="13"/>
      <c r="M1588" s="14"/>
      <c r="N1588" s="15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</row>
    <row r="1589">
      <c r="A1589" s="9">
        <v>1587.0</v>
      </c>
      <c r="B1589" s="31">
        <v>43941.0</v>
      </c>
      <c r="C1589" s="32" t="s">
        <v>420</v>
      </c>
      <c r="D1589" s="11" t="s">
        <v>2763</v>
      </c>
      <c r="E1589" s="32">
        <v>9.66505597552E11</v>
      </c>
      <c r="F1589" s="34" t="s">
        <v>2764</v>
      </c>
      <c r="G1589" s="32" t="s">
        <v>181</v>
      </c>
      <c r="H1589" s="32" t="s">
        <v>206</v>
      </c>
      <c r="I1589" s="13"/>
      <c r="J1589" s="13"/>
      <c r="K1589" s="14"/>
      <c r="L1589" s="13"/>
      <c r="M1589" s="14"/>
      <c r="N1589" s="15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</row>
    <row r="1590">
      <c r="A1590" s="9">
        <v>1588.0</v>
      </c>
      <c r="B1590" s="31">
        <v>43941.0</v>
      </c>
      <c r="C1590" s="32" t="s">
        <v>433</v>
      </c>
      <c r="D1590" s="11" t="s">
        <v>2957</v>
      </c>
      <c r="E1590" s="32">
        <v>9.71554167936E11</v>
      </c>
      <c r="F1590" s="34" t="s">
        <v>2958</v>
      </c>
      <c r="G1590" s="32" t="s">
        <v>2668</v>
      </c>
      <c r="H1590" s="32" t="s">
        <v>206</v>
      </c>
      <c r="I1590" s="13"/>
      <c r="J1590" s="13"/>
      <c r="K1590" s="14"/>
      <c r="L1590" s="13"/>
      <c r="M1590" s="14"/>
      <c r="N1590" s="15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</row>
    <row r="1591">
      <c r="A1591" s="9">
        <v>1589.0</v>
      </c>
      <c r="B1591" s="31">
        <v>43852.0</v>
      </c>
      <c r="C1591" s="32" t="s">
        <v>2347</v>
      </c>
      <c r="D1591" s="11" t="s">
        <v>2959</v>
      </c>
      <c r="E1591" s="32">
        <v>4.407825817651E12</v>
      </c>
      <c r="F1591" s="34" t="s">
        <v>2960</v>
      </c>
      <c r="G1591" s="32" t="s">
        <v>35</v>
      </c>
      <c r="H1591" s="32" t="s">
        <v>206</v>
      </c>
      <c r="I1591" s="13"/>
      <c r="J1591" s="13"/>
      <c r="K1591" s="14"/>
      <c r="L1591" s="13"/>
      <c r="M1591" s="14"/>
      <c r="N1591" s="15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</row>
    <row r="1592">
      <c r="A1592" s="9">
        <v>1590.0</v>
      </c>
      <c r="B1592" s="31">
        <v>43941.0</v>
      </c>
      <c r="C1592" s="32" t="s">
        <v>433</v>
      </c>
      <c r="D1592" s="11" t="s">
        <v>2961</v>
      </c>
      <c r="E1592" s="32">
        <v>9.710529120921E12</v>
      </c>
      <c r="F1592" s="34" t="s">
        <v>2962</v>
      </c>
      <c r="G1592" s="32" t="s">
        <v>35</v>
      </c>
      <c r="H1592" s="32" t="s">
        <v>206</v>
      </c>
      <c r="I1592" s="13"/>
      <c r="J1592" s="13"/>
      <c r="K1592" s="14"/>
      <c r="L1592" s="13"/>
      <c r="M1592" s="14"/>
      <c r="N1592" s="15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</row>
    <row r="1593">
      <c r="A1593" s="9">
        <v>1591.0</v>
      </c>
      <c r="B1593" s="31">
        <v>43941.0</v>
      </c>
      <c r="C1593" s="32" t="s">
        <v>438</v>
      </c>
      <c r="D1593" s="11" t="s">
        <v>2963</v>
      </c>
      <c r="E1593" s="32">
        <v>9.71585433283E11</v>
      </c>
      <c r="F1593" s="34" t="s">
        <v>2964</v>
      </c>
      <c r="G1593" s="32" t="s">
        <v>2516</v>
      </c>
      <c r="H1593" s="32" t="s">
        <v>206</v>
      </c>
      <c r="I1593" s="13"/>
      <c r="J1593" s="13"/>
      <c r="K1593" s="14"/>
      <c r="L1593" s="13"/>
      <c r="M1593" s="14"/>
      <c r="N1593" s="15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</row>
    <row r="1594">
      <c r="A1594" s="9">
        <v>1592.0</v>
      </c>
      <c r="B1594" s="31">
        <v>43941.0</v>
      </c>
      <c r="C1594" s="32" t="s">
        <v>433</v>
      </c>
      <c r="D1594" s="11" t="s">
        <v>2965</v>
      </c>
      <c r="E1594" s="32">
        <v>9.660503228334E12</v>
      </c>
      <c r="F1594" s="34" t="s">
        <v>2966</v>
      </c>
      <c r="G1594" s="32" t="s">
        <v>2516</v>
      </c>
      <c r="H1594" s="32" t="s">
        <v>206</v>
      </c>
      <c r="I1594" s="13"/>
      <c r="J1594" s="13"/>
      <c r="K1594" s="14"/>
      <c r="L1594" s="13"/>
      <c r="M1594" s="14"/>
      <c r="N1594" s="15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</row>
    <row r="1595">
      <c r="A1595" s="9">
        <v>1593.0</v>
      </c>
      <c r="B1595" s="31">
        <v>43941.0</v>
      </c>
      <c r="C1595" s="32" t="s">
        <v>1510</v>
      </c>
      <c r="D1595" s="11" t="s">
        <v>2967</v>
      </c>
      <c r="E1595" s="32">
        <v>9.71506123683E11</v>
      </c>
      <c r="F1595" s="34" t="s">
        <v>2968</v>
      </c>
      <c r="G1595" s="32" t="s">
        <v>35</v>
      </c>
      <c r="H1595" s="32" t="s">
        <v>41</v>
      </c>
      <c r="I1595" s="13"/>
      <c r="J1595" s="13"/>
      <c r="K1595" s="14"/>
      <c r="L1595" s="13"/>
      <c r="M1595" s="14"/>
      <c r="N1595" s="15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</row>
    <row r="1596">
      <c r="A1596" s="9">
        <v>1594.0</v>
      </c>
      <c r="B1596" s="31">
        <v>43941.0</v>
      </c>
      <c r="C1596" s="32" t="s">
        <v>2685</v>
      </c>
      <c r="D1596" s="11" t="s">
        <v>2969</v>
      </c>
      <c r="E1596" s="32">
        <v>9.710508032024E12</v>
      </c>
      <c r="F1596" s="34" t="s">
        <v>2970</v>
      </c>
      <c r="G1596" s="32" t="s">
        <v>2516</v>
      </c>
      <c r="H1596" s="32" t="s">
        <v>206</v>
      </c>
      <c r="I1596" s="13"/>
      <c r="J1596" s="13"/>
      <c r="K1596" s="14"/>
      <c r="L1596" s="13"/>
      <c r="M1596" s="14"/>
      <c r="N1596" s="15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</row>
    <row r="1597">
      <c r="A1597" s="9">
        <v>1595.0</v>
      </c>
      <c r="B1597" s="31">
        <v>43941.0</v>
      </c>
      <c r="C1597" s="32" t="s">
        <v>433</v>
      </c>
      <c r="D1597" s="11" t="s">
        <v>2971</v>
      </c>
      <c r="E1597" s="32">
        <v>9.71555227474E11</v>
      </c>
      <c r="F1597" s="34" t="s">
        <v>2972</v>
      </c>
      <c r="G1597" s="32" t="s">
        <v>35</v>
      </c>
      <c r="H1597" s="32" t="s">
        <v>206</v>
      </c>
      <c r="I1597" s="13"/>
      <c r="J1597" s="13"/>
      <c r="K1597" s="14"/>
      <c r="L1597" s="13"/>
      <c r="M1597" s="14"/>
      <c r="N1597" s="15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</row>
    <row r="1598">
      <c r="A1598" s="9">
        <v>1596.0</v>
      </c>
      <c r="B1598" s="31">
        <v>43941.0</v>
      </c>
      <c r="C1598" s="32" t="s">
        <v>438</v>
      </c>
      <c r="D1598" s="11" t="s">
        <v>2973</v>
      </c>
      <c r="E1598" s="32">
        <v>5.85823481E8</v>
      </c>
      <c r="F1598" s="34" t="s">
        <v>2974</v>
      </c>
      <c r="G1598" s="32" t="s">
        <v>2516</v>
      </c>
      <c r="H1598" s="32" t="s">
        <v>206</v>
      </c>
      <c r="I1598" s="13"/>
      <c r="J1598" s="13"/>
      <c r="K1598" s="14"/>
      <c r="L1598" s="13"/>
      <c r="M1598" s="14"/>
      <c r="N1598" s="15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</row>
    <row r="1599">
      <c r="A1599" s="9">
        <v>1597.0</v>
      </c>
      <c r="B1599" s="31">
        <v>43941.0</v>
      </c>
      <c r="C1599" s="32" t="s">
        <v>438</v>
      </c>
      <c r="D1599" s="11" t="s">
        <v>2975</v>
      </c>
      <c r="E1599" s="32">
        <v>9.660505604868E12</v>
      </c>
      <c r="F1599" s="34" t="s">
        <v>2976</v>
      </c>
      <c r="G1599" s="32" t="s">
        <v>2516</v>
      </c>
      <c r="H1599" s="32" t="s">
        <v>206</v>
      </c>
      <c r="I1599" s="13"/>
      <c r="J1599" s="13"/>
      <c r="K1599" s="14"/>
      <c r="L1599" s="13"/>
      <c r="M1599" s="14"/>
      <c r="N1599" s="15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</row>
    <row r="1600">
      <c r="A1600" s="9">
        <v>1598.0</v>
      </c>
      <c r="B1600" s="31">
        <v>43941.0</v>
      </c>
      <c r="C1600" s="32" t="s">
        <v>2685</v>
      </c>
      <c r="D1600" s="11" t="s">
        <v>2977</v>
      </c>
      <c r="E1600" s="32">
        <v>9.1940047E11</v>
      </c>
      <c r="F1600" s="34" t="s">
        <v>2978</v>
      </c>
      <c r="G1600" s="32" t="s">
        <v>176</v>
      </c>
      <c r="H1600" s="32" t="s">
        <v>81</v>
      </c>
      <c r="I1600" s="13"/>
      <c r="J1600" s="13"/>
      <c r="K1600" s="14"/>
      <c r="L1600" s="13"/>
      <c r="M1600" s="14"/>
      <c r="N1600" s="15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</row>
    <row r="1601">
      <c r="A1601" s="9">
        <v>1599.0</v>
      </c>
      <c r="B1601" s="31">
        <v>43941.0</v>
      </c>
      <c r="C1601" s="32" t="s">
        <v>438</v>
      </c>
      <c r="D1601" s="11" t="s">
        <v>2979</v>
      </c>
      <c r="E1601" s="32">
        <v>9.71503690525E11</v>
      </c>
      <c r="F1601" s="34" t="s">
        <v>2980</v>
      </c>
      <c r="G1601" s="32" t="s">
        <v>176</v>
      </c>
      <c r="H1601" s="32" t="s">
        <v>206</v>
      </c>
      <c r="I1601" s="13"/>
      <c r="J1601" s="13"/>
      <c r="K1601" s="14"/>
      <c r="L1601" s="13"/>
      <c r="M1601" s="14"/>
      <c r="N1601" s="15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</row>
    <row r="1602">
      <c r="A1602" s="9">
        <v>1600.0</v>
      </c>
      <c r="B1602" s="31">
        <v>43941.0</v>
      </c>
      <c r="C1602" s="32" t="s">
        <v>2796</v>
      </c>
      <c r="D1602" s="11" t="s">
        <v>2981</v>
      </c>
      <c r="E1602" s="32">
        <v>9.71505296522E11</v>
      </c>
      <c r="F1602" s="34" t="s">
        <v>2982</v>
      </c>
      <c r="G1602" s="32" t="s">
        <v>2516</v>
      </c>
      <c r="H1602" s="32" t="s">
        <v>260</v>
      </c>
      <c r="I1602" s="13"/>
      <c r="J1602" s="13"/>
      <c r="K1602" s="14"/>
      <c r="L1602" s="13"/>
      <c r="M1602" s="14"/>
      <c r="N1602" s="15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</row>
    <row r="1603">
      <c r="A1603" s="9">
        <v>1601.0</v>
      </c>
      <c r="B1603" s="31">
        <v>43941.0</v>
      </c>
      <c r="C1603" s="32" t="s">
        <v>438</v>
      </c>
      <c r="D1603" s="11" t="s">
        <v>2983</v>
      </c>
      <c r="E1603" s="32">
        <v>9.647504450243E12</v>
      </c>
      <c r="F1603" s="34" t="s">
        <v>2984</v>
      </c>
      <c r="G1603" s="32" t="s">
        <v>2516</v>
      </c>
      <c r="H1603" s="32" t="s">
        <v>206</v>
      </c>
      <c r="I1603" s="13"/>
      <c r="J1603" s="13"/>
      <c r="K1603" s="14"/>
      <c r="L1603" s="13"/>
      <c r="M1603" s="14"/>
      <c r="N1603" s="15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</row>
    <row r="1604">
      <c r="A1604" s="9">
        <v>1602.0</v>
      </c>
      <c r="B1604" s="31">
        <v>43783.0</v>
      </c>
      <c r="C1604" s="32" t="s">
        <v>420</v>
      </c>
      <c r="D1604" s="11" t="s">
        <v>2736</v>
      </c>
      <c r="E1604" s="32">
        <v>4.47474720891E11</v>
      </c>
      <c r="F1604" s="34" t="s">
        <v>2737</v>
      </c>
      <c r="G1604" s="32" t="s">
        <v>149</v>
      </c>
      <c r="H1604" s="32" t="s">
        <v>206</v>
      </c>
      <c r="I1604" s="13"/>
      <c r="J1604" s="13"/>
      <c r="K1604" s="14"/>
      <c r="L1604" s="13"/>
      <c r="M1604" s="14"/>
      <c r="N1604" s="15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</row>
    <row r="1605">
      <c r="A1605" s="9">
        <v>1603.0</v>
      </c>
      <c r="B1605" s="31">
        <v>43941.0</v>
      </c>
      <c r="C1605" s="32" t="s">
        <v>2625</v>
      </c>
      <c r="D1605" s="11" t="s">
        <v>2985</v>
      </c>
      <c r="E1605" s="32" t="s">
        <v>2986</v>
      </c>
      <c r="F1605" s="34" t="s">
        <v>2987</v>
      </c>
      <c r="G1605" s="32" t="s">
        <v>2988</v>
      </c>
      <c r="H1605" s="32" t="s">
        <v>206</v>
      </c>
      <c r="I1605" s="13"/>
      <c r="J1605" s="13"/>
      <c r="K1605" s="14"/>
      <c r="L1605" s="13"/>
      <c r="M1605" s="14"/>
      <c r="N1605" s="15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</row>
    <row r="1606">
      <c r="A1606" s="9">
        <v>1604.0</v>
      </c>
      <c r="B1606" s="31">
        <v>43764.0</v>
      </c>
      <c r="C1606" s="32" t="s">
        <v>420</v>
      </c>
      <c r="D1606" s="11" t="s">
        <v>2989</v>
      </c>
      <c r="E1606" s="32">
        <v>4.407368374809E12</v>
      </c>
      <c r="F1606" s="34" t="s">
        <v>2990</v>
      </c>
      <c r="G1606" s="32" t="s">
        <v>176</v>
      </c>
      <c r="H1606" s="32" t="s">
        <v>206</v>
      </c>
      <c r="I1606" s="13"/>
      <c r="J1606" s="13"/>
      <c r="K1606" s="14"/>
      <c r="L1606" s="13"/>
      <c r="M1606" s="14"/>
      <c r="N1606" s="15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</row>
    <row r="1607">
      <c r="A1607" s="9">
        <v>1605.0</v>
      </c>
      <c r="B1607" s="31">
        <v>43771.0</v>
      </c>
      <c r="C1607" s="32" t="s">
        <v>2625</v>
      </c>
      <c r="D1607" s="11" t="s">
        <v>2991</v>
      </c>
      <c r="E1607" s="32">
        <v>4.560153443E9</v>
      </c>
      <c r="F1607" s="34" t="s">
        <v>2992</v>
      </c>
      <c r="G1607" s="32" t="s">
        <v>176</v>
      </c>
      <c r="H1607" s="32" t="s">
        <v>41</v>
      </c>
      <c r="I1607" s="13"/>
      <c r="J1607" s="13"/>
      <c r="K1607" s="14"/>
      <c r="L1607" s="13"/>
      <c r="M1607" s="14"/>
      <c r="N1607" s="15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</row>
    <row r="1608">
      <c r="A1608" s="9">
        <v>1606.0</v>
      </c>
      <c r="B1608" s="31">
        <v>43771.0</v>
      </c>
      <c r="C1608" s="32" t="s">
        <v>2625</v>
      </c>
      <c r="D1608" s="11" t="s">
        <v>2993</v>
      </c>
      <c r="E1608" s="32">
        <v>9.71508317071E11</v>
      </c>
      <c r="F1608" s="34" t="s">
        <v>2994</v>
      </c>
      <c r="G1608" s="32" t="s">
        <v>176</v>
      </c>
      <c r="H1608" s="32" t="s">
        <v>206</v>
      </c>
      <c r="I1608" s="13"/>
      <c r="J1608" s="13"/>
      <c r="K1608" s="14"/>
      <c r="L1608" s="13"/>
      <c r="M1608" s="14"/>
      <c r="N1608" s="15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</row>
    <row r="1609">
      <c r="A1609" s="9">
        <v>1607.0</v>
      </c>
      <c r="B1609" s="31">
        <v>43760.0</v>
      </c>
      <c r="C1609" s="32" t="s">
        <v>2995</v>
      </c>
      <c r="D1609" s="11" t="s">
        <v>2996</v>
      </c>
      <c r="E1609" s="32" t="s">
        <v>2997</v>
      </c>
      <c r="F1609" s="32" t="s">
        <v>410</v>
      </c>
      <c r="G1609" s="32" t="s">
        <v>176</v>
      </c>
      <c r="H1609" s="32" t="s">
        <v>206</v>
      </c>
      <c r="I1609" s="13"/>
      <c r="J1609" s="13"/>
      <c r="K1609" s="14"/>
      <c r="L1609" s="13"/>
      <c r="M1609" s="14"/>
      <c r="N1609" s="15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</row>
    <row r="1610">
      <c r="A1610" s="9">
        <v>1608.0</v>
      </c>
      <c r="B1610" s="31">
        <v>43741.0</v>
      </c>
      <c r="C1610" s="32" t="s">
        <v>446</v>
      </c>
      <c r="D1610" s="11" t="s">
        <v>2998</v>
      </c>
      <c r="E1610" s="32">
        <v>4.47725780117E11</v>
      </c>
      <c r="F1610" s="34" t="s">
        <v>2999</v>
      </c>
      <c r="G1610" s="32" t="s">
        <v>35</v>
      </c>
      <c r="H1610" s="32" t="s">
        <v>206</v>
      </c>
      <c r="I1610" s="13"/>
      <c r="J1610" s="13"/>
      <c r="K1610" s="14"/>
      <c r="L1610" s="13"/>
      <c r="M1610" s="14"/>
      <c r="N1610" s="15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</row>
    <row r="1611">
      <c r="A1611" s="9">
        <v>1609.0</v>
      </c>
      <c r="B1611" s="31">
        <v>43697.0</v>
      </c>
      <c r="C1611" s="32" t="s">
        <v>2813</v>
      </c>
      <c r="D1611" s="11" t="s">
        <v>3000</v>
      </c>
      <c r="E1611" s="32">
        <v>9.19985867309E11</v>
      </c>
      <c r="F1611" s="34" t="s">
        <v>3001</v>
      </c>
      <c r="G1611" s="32" t="s">
        <v>35</v>
      </c>
      <c r="H1611" s="32" t="s">
        <v>206</v>
      </c>
      <c r="I1611" s="13"/>
      <c r="J1611" s="13"/>
      <c r="K1611" s="14"/>
      <c r="L1611" s="13"/>
      <c r="M1611" s="14"/>
      <c r="N1611" s="15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</row>
    <row r="1612">
      <c r="A1612" s="9">
        <v>1610.0</v>
      </c>
      <c r="B1612" s="37">
        <v>43699.0</v>
      </c>
      <c r="C1612" s="38" t="s">
        <v>2849</v>
      </c>
      <c r="D1612" s="11" t="s">
        <v>3002</v>
      </c>
      <c r="E1612" s="38">
        <v>9.19347988227E11</v>
      </c>
      <c r="F1612" s="34" t="s">
        <v>3003</v>
      </c>
      <c r="G1612" s="38" t="s">
        <v>35</v>
      </c>
      <c r="H1612" s="38" t="s">
        <v>206</v>
      </c>
      <c r="I1612" s="13"/>
      <c r="J1612" s="13"/>
      <c r="K1612" s="20"/>
      <c r="L1612" s="13"/>
      <c r="M1612" s="20"/>
      <c r="N1612" s="21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</row>
    <row r="1613">
      <c r="A1613" s="9">
        <v>1611.0</v>
      </c>
      <c r="B1613" s="31">
        <v>43700.0</v>
      </c>
      <c r="C1613" s="32" t="s">
        <v>2849</v>
      </c>
      <c r="D1613" s="39" t="s">
        <v>3004</v>
      </c>
      <c r="E1613" s="32">
        <v>9.849062184E9</v>
      </c>
      <c r="F1613" s="34" t="s">
        <v>3005</v>
      </c>
      <c r="G1613" s="32" t="s">
        <v>35</v>
      </c>
      <c r="H1613" s="32" t="s">
        <v>206</v>
      </c>
      <c r="I1613" s="13"/>
      <c r="J1613" s="13"/>
      <c r="K1613" s="14"/>
      <c r="L1613" s="13"/>
      <c r="M1613" s="14"/>
      <c r="N1613" s="15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</row>
    <row r="1614">
      <c r="A1614" s="31"/>
      <c r="B1614" s="31"/>
      <c r="C1614" s="32"/>
      <c r="D1614" s="40"/>
      <c r="E1614" s="32"/>
      <c r="F1614" s="34"/>
      <c r="G1614" s="32"/>
      <c r="H1614" s="32"/>
      <c r="I1614" s="13"/>
      <c r="J1614" s="13"/>
      <c r="K1614" s="14"/>
      <c r="L1614" s="13"/>
      <c r="M1614" s="14"/>
      <c r="N1614" s="15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</row>
    <row r="1615">
      <c r="A1615" s="31"/>
      <c r="B1615" s="31"/>
      <c r="C1615" s="32"/>
      <c r="D1615" s="40"/>
      <c r="E1615" s="32"/>
      <c r="F1615" s="34"/>
      <c r="G1615" s="32"/>
      <c r="H1615" s="32"/>
      <c r="I1615" s="13"/>
      <c r="J1615" s="13"/>
      <c r="K1615" s="14"/>
      <c r="L1615" s="13"/>
      <c r="M1615" s="14"/>
      <c r="N1615" s="15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</row>
    <row r="1616">
      <c r="A1616" s="31"/>
      <c r="B1616" s="31"/>
      <c r="C1616" s="32"/>
      <c r="D1616" s="40"/>
      <c r="E1616" s="32"/>
      <c r="F1616" s="34"/>
      <c r="G1616" s="32"/>
      <c r="H1616" s="32"/>
      <c r="I1616" s="13"/>
      <c r="J1616" s="13"/>
      <c r="K1616" s="14"/>
      <c r="L1616" s="13"/>
      <c r="M1616" s="14"/>
      <c r="N1616" s="15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</row>
    <row r="1617">
      <c r="A1617" s="31"/>
      <c r="B1617" s="31"/>
      <c r="C1617" s="32"/>
      <c r="D1617" s="40"/>
      <c r="E1617" s="32"/>
      <c r="F1617" s="34"/>
      <c r="G1617" s="32"/>
      <c r="H1617" s="32"/>
      <c r="I1617" s="13"/>
      <c r="J1617" s="13"/>
      <c r="K1617" s="14"/>
      <c r="L1617" s="13"/>
      <c r="M1617" s="14"/>
      <c r="N1617" s="15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</row>
    <row r="1618">
      <c r="A1618" s="31"/>
      <c r="B1618" s="31"/>
      <c r="C1618" s="32"/>
      <c r="D1618" s="40"/>
      <c r="E1618" s="32"/>
      <c r="F1618" s="34"/>
      <c r="G1618" s="32"/>
      <c r="H1618" s="32"/>
      <c r="I1618" s="13"/>
      <c r="J1618" s="13"/>
      <c r="K1618" s="14"/>
      <c r="L1618" s="13"/>
      <c r="M1618" s="14"/>
      <c r="N1618" s="15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</row>
    <row r="1619">
      <c r="A1619" s="31"/>
      <c r="B1619" s="31"/>
      <c r="C1619" s="32"/>
      <c r="D1619" s="40"/>
      <c r="E1619" s="32"/>
      <c r="F1619" s="34"/>
      <c r="G1619" s="32"/>
      <c r="H1619" s="32"/>
      <c r="I1619" s="13"/>
      <c r="J1619" s="13"/>
      <c r="K1619" s="14"/>
      <c r="L1619" s="13"/>
      <c r="M1619" s="14"/>
      <c r="N1619" s="15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</row>
    <row r="1620">
      <c r="A1620" s="31"/>
      <c r="B1620" s="31"/>
      <c r="C1620" s="32"/>
      <c r="D1620" s="40"/>
      <c r="E1620" s="32"/>
      <c r="F1620" s="34"/>
      <c r="G1620" s="32"/>
      <c r="H1620" s="32"/>
      <c r="I1620" s="13"/>
      <c r="J1620" s="13"/>
      <c r="K1620" s="14"/>
      <c r="L1620" s="13"/>
      <c r="M1620" s="14"/>
      <c r="N1620" s="15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</row>
    <row r="1621">
      <c r="A1621" s="31"/>
      <c r="B1621" s="31"/>
      <c r="C1621" s="32"/>
      <c r="D1621" s="40"/>
      <c r="E1621" s="32"/>
      <c r="F1621" s="34"/>
      <c r="G1621" s="32"/>
      <c r="H1621" s="32"/>
      <c r="I1621" s="13"/>
      <c r="J1621" s="13"/>
      <c r="K1621" s="14"/>
      <c r="L1621" s="13"/>
      <c r="M1621" s="14"/>
      <c r="N1621" s="15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</row>
    <row r="1622">
      <c r="A1622" s="31"/>
      <c r="B1622" s="31"/>
      <c r="C1622" s="32"/>
      <c r="D1622" s="40"/>
      <c r="E1622" s="32"/>
      <c r="F1622" s="34"/>
      <c r="G1622" s="32"/>
      <c r="H1622" s="32"/>
      <c r="I1622" s="13"/>
      <c r="J1622" s="13"/>
      <c r="K1622" s="14"/>
      <c r="L1622" s="13"/>
      <c r="M1622" s="14"/>
      <c r="N1622" s="15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</row>
    <row r="1623">
      <c r="A1623" s="31"/>
      <c r="B1623" s="31"/>
      <c r="C1623" s="32"/>
      <c r="D1623" s="40"/>
      <c r="E1623" s="32"/>
      <c r="F1623" s="34"/>
      <c r="G1623" s="32"/>
      <c r="H1623" s="32"/>
      <c r="I1623" s="13"/>
      <c r="J1623" s="13"/>
      <c r="K1623" s="14"/>
      <c r="L1623" s="13"/>
      <c r="M1623" s="14"/>
      <c r="N1623" s="15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</row>
    <row r="1624">
      <c r="A1624" s="31"/>
      <c r="B1624" s="31"/>
      <c r="C1624" s="32"/>
      <c r="D1624" s="40"/>
      <c r="E1624" s="32"/>
      <c r="F1624" s="34"/>
      <c r="G1624" s="32"/>
      <c r="H1624" s="32"/>
      <c r="I1624" s="13"/>
      <c r="J1624" s="13"/>
      <c r="K1624" s="14"/>
      <c r="L1624" s="13"/>
      <c r="M1624" s="14"/>
      <c r="N1624" s="15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</row>
    <row r="1625">
      <c r="A1625" s="31"/>
      <c r="B1625" s="31"/>
      <c r="C1625" s="32"/>
      <c r="D1625" s="40"/>
      <c r="E1625" s="32"/>
      <c r="F1625" s="34"/>
      <c r="G1625" s="32"/>
      <c r="H1625" s="32"/>
      <c r="I1625" s="13"/>
      <c r="J1625" s="13"/>
      <c r="K1625" s="14"/>
      <c r="L1625" s="13"/>
      <c r="M1625" s="14"/>
      <c r="N1625" s="15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</row>
    <row r="1626">
      <c r="A1626" s="31"/>
      <c r="B1626" s="31"/>
      <c r="C1626" s="32"/>
      <c r="D1626" s="40"/>
      <c r="E1626" s="32"/>
      <c r="F1626" s="34"/>
      <c r="G1626" s="32"/>
      <c r="H1626" s="32"/>
      <c r="I1626" s="13"/>
      <c r="J1626" s="13"/>
      <c r="K1626" s="14"/>
      <c r="L1626" s="13"/>
      <c r="M1626" s="14"/>
      <c r="N1626" s="15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</row>
    <row r="1627">
      <c r="A1627" s="31"/>
      <c r="B1627" s="31"/>
      <c r="C1627" s="32"/>
      <c r="D1627" s="40"/>
      <c r="E1627" s="32"/>
      <c r="F1627" s="34"/>
      <c r="G1627" s="32"/>
      <c r="H1627" s="32"/>
      <c r="I1627" s="13"/>
      <c r="J1627" s="13"/>
      <c r="K1627" s="14"/>
      <c r="L1627" s="13"/>
      <c r="M1627" s="14"/>
      <c r="N1627" s="15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</row>
    <row r="1628">
      <c r="A1628" s="31"/>
      <c r="B1628" s="31"/>
      <c r="C1628" s="32"/>
      <c r="D1628" s="40"/>
      <c r="E1628" s="32"/>
      <c r="F1628" s="34"/>
      <c r="G1628" s="32"/>
      <c r="H1628" s="32"/>
      <c r="I1628" s="13"/>
      <c r="J1628" s="13"/>
      <c r="K1628" s="14"/>
      <c r="L1628" s="13"/>
      <c r="M1628" s="14"/>
      <c r="N1628" s="15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</row>
    <row r="1629">
      <c r="A1629" s="31"/>
      <c r="B1629" s="31"/>
      <c r="C1629" s="32"/>
      <c r="D1629" s="40"/>
      <c r="E1629" s="32"/>
      <c r="F1629" s="34"/>
      <c r="G1629" s="32"/>
      <c r="H1629" s="32"/>
      <c r="I1629" s="13"/>
      <c r="J1629" s="13"/>
      <c r="K1629" s="14"/>
      <c r="L1629" s="13"/>
      <c r="M1629" s="14"/>
      <c r="N1629" s="15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</row>
    <row r="1630">
      <c r="A1630" s="31"/>
      <c r="B1630" s="31"/>
      <c r="C1630" s="32"/>
      <c r="D1630" s="40"/>
      <c r="E1630" s="32"/>
      <c r="F1630" s="34"/>
      <c r="G1630" s="32"/>
      <c r="H1630" s="32"/>
      <c r="I1630" s="13"/>
      <c r="J1630" s="13"/>
      <c r="K1630" s="14"/>
      <c r="L1630" s="13"/>
      <c r="M1630" s="14"/>
      <c r="N1630" s="15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</row>
    <row r="1631">
      <c r="A1631" s="31"/>
      <c r="B1631" s="31"/>
      <c r="C1631" s="32"/>
      <c r="D1631" s="40"/>
      <c r="E1631" s="32"/>
      <c r="F1631" s="34"/>
      <c r="G1631" s="32"/>
      <c r="H1631" s="32"/>
      <c r="I1631" s="13"/>
      <c r="J1631" s="13"/>
      <c r="K1631" s="14"/>
      <c r="L1631" s="13"/>
      <c r="M1631" s="14"/>
      <c r="N1631" s="15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</row>
    <row r="1632">
      <c r="A1632" s="31"/>
      <c r="B1632" s="31"/>
      <c r="C1632" s="32"/>
      <c r="D1632" s="40"/>
      <c r="E1632" s="32"/>
      <c r="F1632" s="34"/>
      <c r="G1632" s="32"/>
      <c r="H1632" s="32"/>
      <c r="I1632" s="13"/>
      <c r="J1632" s="13"/>
      <c r="K1632" s="14"/>
      <c r="L1632" s="13"/>
      <c r="M1632" s="14"/>
      <c r="N1632" s="15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</row>
    <row r="1633">
      <c r="A1633" s="31"/>
      <c r="B1633" s="31"/>
      <c r="C1633" s="32"/>
      <c r="D1633" s="40"/>
      <c r="E1633" s="32"/>
      <c r="F1633" s="34"/>
      <c r="G1633" s="32"/>
      <c r="H1633" s="32"/>
      <c r="I1633" s="13"/>
      <c r="J1633" s="13"/>
      <c r="K1633" s="14"/>
      <c r="L1633" s="13"/>
      <c r="M1633" s="14"/>
      <c r="N1633" s="15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</row>
    <row r="1634">
      <c r="A1634" s="31"/>
      <c r="B1634" s="31"/>
      <c r="C1634" s="32"/>
      <c r="D1634" s="40"/>
      <c r="E1634" s="32"/>
      <c r="F1634" s="34"/>
      <c r="G1634" s="32"/>
      <c r="H1634" s="32"/>
      <c r="I1634" s="13"/>
      <c r="J1634" s="13"/>
      <c r="K1634" s="14"/>
      <c r="L1634" s="13"/>
      <c r="M1634" s="14"/>
      <c r="N1634" s="15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</row>
    <row r="1635">
      <c r="A1635" s="31"/>
      <c r="B1635" s="31"/>
      <c r="C1635" s="32"/>
      <c r="D1635" s="40"/>
      <c r="E1635" s="32"/>
      <c r="F1635" s="34"/>
      <c r="G1635" s="32"/>
      <c r="H1635" s="32"/>
      <c r="I1635" s="13"/>
      <c r="J1635" s="13"/>
      <c r="K1635" s="14"/>
      <c r="L1635" s="13"/>
      <c r="M1635" s="14"/>
      <c r="N1635" s="15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</row>
    <row r="1636">
      <c r="A1636" s="31"/>
      <c r="B1636" s="31"/>
      <c r="C1636" s="32"/>
      <c r="D1636" s="40"/>
      <c r="E1636" s="32"/>
      <c r="F1636" s="34"/>
      <c r="G1636" s="32"/>
      <c r="H1636" s="32"/>
      <c r="I1636" s="13"/>
      <c r="J1636" s="13"/>
      <c r="K1636" s="14"/>
      <c r="L1636" s="13"/>
      <c r="M1636" s="14"/>
      <c r="N1636" s="15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</row>
    <row r="1637">
      <c r="A1637" s="31"/>
      <c r="B1637" s="31"/>
      <c r="C1637" s="32"/>
      <c r="D1637" s="40"/>
      <c r="E1637" s="32"/>
      <c r="F1637" s="34"/>
      <c r="G1637" s="32"/>
      <c r="H1637" s="32"/>
      <c r="I1637" s="13"/>
      <c r="J1637" s="13"/>
      <c r="K1637" s="14"/>
      <c r="L1637" s="13"/>
      <c r="M1637" s="14"/>
      <c r="N1637" s="15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</row>
    <row r="1638">
      <c r="A1638" s="31"/>
      <c r="B1638" s="31"/>
      <c r="C1638" s="32"/>
      <c r="D1638" s="40"/>
      <c r="E1638" s="32"/>
      <c r="F1638" s="34"/>
      <c r="G1638" s="32"/>
      <c r="H1638" s="32"/>
      <c r="I1638" s="13"/>
      <c r="J1638" s="13"/>
      <c r="K1638" s="14"/>
      <c r="L1638" s="13"/>
      <c r="M1638" s="14"/>
      <c r="N1638" s="15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</row>
    <row r="1639">
      <c r="A1639" s="31"/>
      <c r="B1639" s="31"/>
      <c r="C1639" s="32"/>
      <c r="D1639" s="40"/>
      <c r="E1639" s="32"/>
      <c r="F1639" s="34"/>
      <c r="G1639" s="32"/>
      <c r="H1639" s="32"/>
      <c r="I1639" s="13"/>
      <c r="J1639" s="13"/>
      <c r="K1639" s="14"/>
      <c r="L1639" s="13"/>
      <c r="M1639" s="14"/>
      <c r="N1639" s="15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</row>
    <row r="1640">
      <c r="A1640" s="31"/>
      <c r="B1640" s="31"/>
      <c r="C1640" s="32"/>
      <c r="D1640" s="40"/>
      <c r="E1640" s="32"/>
      <c r="F1640" s="34"/>
      <c r="G1640" s="32"/>
      <c r="H1640" s="32"/>
      <c r="I1640" s="13"/>
      <c r="J1640" s="13"/>
      <c r="K1640" s="14"/>
      <c r="L1640" s="13"/>
      <c r="M1640" s="14"/>
      <c r="N1640" s="15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</row>
    <row r="1641">
      <c r="A1641" s="31"/>
      <c r="B1641" s="31"/>
      <c r="C1641" s="32"/>
      <c r="D1641" s="40"/>
      <c r="E1641" s="32"/>
      <c r="F1641" s="34"/>
      <c r="G1641" s="32"/>
      <c r="H1641" s="32"/>
      <c r="I1641" s="13"/>
      <c r="J1641" s="13"/>
      <c r="K1641" s="14"/>
      <c r="L1641" s="13"/>
      <c r="M1641" s="14"/>
      <c r="N1641" s="15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</row>
    <row r="1642">
      <c r="A1642" s="31"/>
      <c r="B1642" s="31"/>
      <c r="C1642" s="32"/>
      <c r="D1642" s="40"/>
      <c r="E1642" s="32"/>
      <c r="F1642" s="34"/>
      <c r="G1642" s="32"/>
      <c r="H1642" s="32"/>
      <c r="I1642" s="13"/>
      <c r="J1642" s="13"/>
      <c r="K1642" s="14"/>
      <c r="L1642" s="13"/>
      <c r="M1642" s="14"/>
      <c r="N1642" s="15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</row>
    <row r="1643">
      <c r="A1643" s="31"/>
      <c r="B1643" s="31"/>
      <c r="C1643" s="32"/>
      <c r="D1643" s="40"/>
      <c r="E1643" s="32"/>
      <c r="F1643" s="34"/>
      <c r="G1643" s="32"/>
      <c r="H1643" s="32"/>
      <c r="I1643" s="13"/>
      <c r="J1643" s="13"/>
      <c r="K1643" s="14"/>
      <c r="L1643" s="13"/>
      <c r="M1643" s="14"/>
      <c r="N1643" s="15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</row>
    <row r="1644">
      <c r="A1644" s="31"/>
      <c r="B1644" s="31"/>
      <c r="C1644" s="32"/>
      <c r="D1644" s="40"/>
      <c r="E1644" s="32"/>
      <c r="F1644" s="34"/>
      <c r="G1644" s="32"/>
      <c r="H1644" s="32"/>
      <c r="I1644" s="13"/>
      <c r="J1644" s="13"/>
      <c r="K1644" s="14"/>
      <c r="L1644" s="13"/>
      <c r="M1644" s="14"/>
      <c r="N1644" s="15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</row>
    <row r="1645">
      <c r="A1645" s="31"/>
      <c r="B1645" s="31"/>
      <c r="C1645" s="32"/>
      <c r="D1645" s="40"/>
      <c r="E1645" s="32"/>
      <c r="F1645" s="34"/>
      <c r="G1645" s="32"/>
      <c r="H1645" s="32"/>
      <c r="I1645" s="13"/>
      <c r="J1645" s="13"/>
      <c r="K1645" s="14"/>
      <c r="L1645" s="13"/>
      <c r="M1645" s="14"/>
      <c r="N1645" s="15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</row>
    <row r="1646">
      <c r="A1646" s="31"/>
      <c r="B1646" s="31"/>
      <c r="C1646" s="32"/>
      <c r="D1646" s="40"/>
      <c r="E1646" s="32"/>
      <c r="F1646" s="34"/>
      <c r="G1646" s="32"/>
      <c r="H1646" s="32"/>
      <c r="I1646" s="13"/>
      <c r="J1646" s="13"/>
      <c r="K1646" s="14"/>
      <c r="L1646" s="13"/>
      <c r="M1646" s="14"/>
      <c r="N1646" s="15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</row>
    <row r="1647">
      <c r="A1647" s="31"/>
      <c r="B1647" s="31"/>
      <c r="C1647" s="32"/>
      <c r="D1647" s="40"/>
      <c r="E1647" s="32"/>
      <c r="F1647" s="34"/>
      <c r="G1647" s="32"/>
      <c r="H1647" s="32"/>
      <c r="I1647" s="13"/>
      <c r="J1647" s="13"/>
      <c r="K1647" s="14"/>
      <c r="L1647" s="13"/>
      <c r="M1647" s="14"/>
      <c r="N1647" s="15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</row>
    <row r="1648">
      <c r="A1648" s="31"/>
      <c r="B1648" s="31"/>
      <c r="C1648" s="32"/>
      <c r="D1648" s="40"/>
      <c r="E1648" s="32"/>
      <c r="F1648" s="34"/>
      <c r="G1648" s="32"/>
      <c r="H1648" s="32"/>
      <c r="I1648" s="13"/>
      <c r="J1648" s="13"/>
      <c r="K1648" s="14"/>
      <c r="L1648" s="13"/>
      <c r="M1648" s="14"/>
      <c r="N1648" s="15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</row>
    <row r="1649">
      <c r="A1649" s="31"/>
      <c r="B1649" s="31"/>
      <c r="C1649" s="32"/>
      <c r="D1649" s="40"/>
      <c r="E1649" s="32"/>
      <c r="F1649" s="34"/>
      <c r="G1649" s="32"/>
      <c r="H1649" s="32"/>
      <c r="I1649" s="13"/>
      <c r="J1649" s="13"/>
      <c r="K1649" s="14"/>
      <c r="L1649" s="13"/>
      <c r="M1649" s="14"/>
      <c r="N1649" s="15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</row>
    <row r="1650">
      <c r="A1650" s="31"/>
      <c r="B1650" s="31"/>
      <c r="C1650" s="32"/>
      <c r="D1650" s="40"/>
      <c r="E1650" s="32"/>
      <c r="F1650" s="34"/>
      <c r="G1650" s="32"/>
      <c r="H1650" s="32"/>
      <c r="I1650" s="13"/>
      <c r="J1650" s="13"/>
      <c r="K1650" s="14"/>
      <c r="L1650" s="13"/>
      <c r="M1650" s="14"/>
      <c r="N1650" s="15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</row>
    <row r="1651">
      <c r="A1651" s="31"/>
      <c r="B1651" s="31"/>
      <c r="C1651" s="32"/>
      <c r="D1651" s="40"/>
      <c r="E1651" s="32"/>
      <c r="F1651" s="34"/>
      <c r="G1651" s="32"/>
      <c r="H1651" s="32"/>
      <c r="I1651" s="13"/>
      <c r="J1651" s="13"/>
      <c r="K1651" s="14"/>
      <c r="L1651" s="13"/>
      <c r="M1651" s="14"/>
      <c r="N1651" s="15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</row>
    <row r="1652">
      <c r="A1652" s="31"/>
      <c r="B1652" s="31"/>
      <c r="C1652" s="32"/>
      <c r="D1652" s="40"/>
      <c r="E1652" s="32"/>
      <c r="F1652" s="34"/>
      <c r="G1652" s="32"/>
      <c r="H1652" s="32"/>
      <c r="I1652" s="13"/>
      <c r="J1652" s="13"/>
      <c r="K1652" s="14"/>
      <c r="L1652" s="13"/>
      <c r="M1652" s="14"/>
      <c r="N1652" s="15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</row>
    <row r="1653">
      <c r="A1653" s="31"/>
      <c r="B1653" s="31"/>
      <c r="C1653" s="32"/>
      <c r="D1653" s="40"/>
      <c r="E1653" s="32"/>
      <c r="F1653" s="34"/>
      <c r="G1653" s="32"/>
      <c r="H1653" s="32"/>
      <c r="I1653" s="13"/>
      <c r="J1653" s="13"/>
      <c r="K1653" s="14"/>
      <c r="L1653" s="13"/>
      <c r="M1653" s="14"/>
      <c r="N1653" s="15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</row>
    <row r="1654">
      <c r="A1654" s="31"/>
      <c r="B1654" s="31"/>
      <c r="C1654" s="32"/>
      <c r="D1654" s="40"/>
      <c r="E1654" s="32"/>
      <c r="F1654" s="34"/>
      <c r="G1654" s="32"/>
      <c r="H1654" s="32"/>
      <c r="I1654" s="13"/>
      <c r="J1654" s="13"/>
      <c r="K1654" s="14"/>
      <c r="L1654" s="13"/>
      <c r="M1654" s="14"/>
      <c r="N1654" s="15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</row>
    <row r="1655">
      <c r="A1655" s="31"/>
      <c r="B1655" s="31"/>
      <c r="C1655" s="32"/>
      <c r="D1655" s="40"/>
      <c r="E1655" s="32"/>
      <c r="F1655" s="34"/>
      <c r="G1655" s="32"/>
      <c r="H1655" s="32"/>
      <c r="I1655" s="13"/>
      <c r="J1655" s="13"/>
      <c r="K1655" s="14"/>
      <c r="L1655" s="13"/>
      <c r="M1655" s="14"/>
      <c r="N1655" s="15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</row>
    <row r="1656">
      <c r="A1656" s="31"/>
      <c r="B1656" s="31"/>
      <c r="C1656" s="32"/>
      <c r="D1656" s="40"/>
      <c r="E1656" s="32"/>
      <c r="F1656" s="34"/>
      <c r="G1656" s="32"/>
      <c r="H1656" s="32"/>
      <c r="I1656" s="13"/>
      <c r="J1656" s="13"/>
      <c r="K1656" s="14"/>
      <c r="L1656" s="13"/>
      <c r="M1656" s="14"/>
      <c r="N1656" s="15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</row>
    <row r="1657">
      <c r="A1657" s="31"/>
      <c r="B1657" s="31"/>
      <c r="C1657" s="32"/>
      <c r="D1657" s="40"/>
      <c r="E1657" s="32"/>
      <c r="F1657" s="34"/>
      <c r="G1657" s="32"/>
      <c r="H1657" s="32"/>
      <c r="I1657" s="13"/>
      <c r="J1657" s="13"/>
      <c r="K1657" s="14"/>
      <c r="L1657" s="13"/>
      <c r="M1657" s="14"/>
      <c r="N1657" s="15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</row>
    <row r="1658">
      <c r="A1658" s="31"/>
      <c r="B1658" s="31"/>
      <c r="C1658" s="32"/>
      <c r="D1658" s="40"/>
      <c r="E1658" s="32"/>
      <c r="F1658" s="34"/>
      <c r="G1658" s="32"/>
      <c r="H1658" s="32"/>
      <c r="I1658" s="13"/>
      <c r="J1658" s="13"/>
      <c r="K1658" s="14"/>
      <c r="L1658" s="13"/>
      <c r="M1658" s="14"/>
      <c r="N1658" s="15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</row>
    <row r="1659">
      <c r="A1659" s="31"/>
      <c r="B1659" s="31"/>
      <c r="C1659" s="32"/>
      <c r="D1659" s="40"/>
      <c r="E1659" s="32"/>
      <c r="F1659" s="34"/>
      <c r="G1659" s="32"/>
      <c r="H1659" s="32"/>
      <c r="I1659" s="13"/>
      <c r="J1659" s="13"/>
      <c r="K1659" s="14"/>
      <c r="L1659" s="13"/>
      <c r="M1659" s="14"/>
      <c r="N1659" s="15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</row>
    <row r="1660">
      <c r="A1660" s="31"/>
      <c r="B1660" s="31"/>
      <c r="C1660" s="32"/>
      <c r="D1660" s="40"/>
      <c r="E1660" s="32"/>
      <c r="F1660" s="34"/>
      <c r="G1660" s="32"/>
      <c r="H1660" s="32"/>
      <c r="I1660" s="13"/>
      <c r="J1660" s="13"/>
      <c r="K1660" s="14"/>
      <c r="L1660" s="13"/>
      <c r="M1660" s="14"/>
      <c r="N1660" s="15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</row>
    <row r="1661">
      <c r="A1661" s="31"/>
      <c r="B1661" s="31"/>
      <c r="C1661" s="32"/>
      <c r="D1661" s="40"/>
      <c r="E1661" s="32"/>
      <c r="F1661" s="34"/>
      <c r="G1661" s="32"/>
      <c r="H1661" s="32"/>
      <c r="I1661" s="13"/>
      <c r="J1661" s="13"/>
      <c r="K1661" s="14"/>
      <c r="L1661" s="13"/>
      <c r="M1661" s="14"/>
      <c r="N1661" s="15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</row>
    <row r="1662">
      <c r="A1662" s="31"/>
      <c r="B1662" s="31"/>
      <c r="C1662" s="32"/>
      <c r="D1662" s="40"/>
      <c r="E1662" s="32"/>
      <c r="F1662" s="34"/>
      <c r="G1662" s="32"/>
      <c r="H1662" s="32"/>
      <c r="I1662" s="13"/>
      <c r="J1662" s="13"/>
      <c r="K1662" s="14"/>
      <c r="L1662" s="13"/>
      <c r="M1662" s="14"/>
      <c r="N1662" s="15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</row>
    <row r="1663">
      <c r="A1663" s="31"/>
      <c r="B1663" s="31"/>
      <c r="C1663" s="32"/>
      <c r="D1663" s="40"/>
      <c r="E1663" s="32"/>
      <c r="F1663" s="34"/>
      <c r="G1663" s="32"/>
      <c r="H1663" s="32"/>
      <c r="I1663" s="13"/>
      <c r="J1663" s="13"/>
      <c r="K1663" s="14"/>
      <c r="L1663" s="13"/>
      <c r="M1663" s="14"/>
      <c r="N1663" s="15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</row>
    <row r="1664">
      <c r="A1664" s="31"/>
      <c r="B1664" s="31"/>
      <c r="C1664" s="32"/>
      <c r="D1664" s="40"/>
      <c r="E1664" s="32"/>
      <c r="F1664" s="34"/>
      <c r="G1664" s="32"/>
      <c r="H1664" s="32"/>
      <c r="I1664" s="13"/>
      <c r="J1664" s="13"/>
      <c r="K1664" s="14"/>
      <c r="L1664" s="13"/>
      <c r="M1664" s="14"/>
      <c r="N1664" s="15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</row>
    <row r="1665">
      <c r="A1665" s="31"/>
      <c r="B1665" s="31"/>
      <c r="C1665" s="32"/>
      <c r="D1665" s="40"/>
      <c r="E1665" s="32"/>
      <c r="F1665" s="34"/>
      <c r="G1665" s="32"/>
      <c r="H1665" s="32"/>
      <c r="I1665" s="13"/>
      <c r="J1665" s="13"/>
      <c r="K1665" s="14"/>
      <c r="L1665" s="13"/>
      <c r="M1665" s="14"/>
      <c r="N1665" s="15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</row>
    <row r="1666">
      <c r="A1666" s="31"/>
      <c r="B1666" s="31"/>
      <c r="C1666" s="32"/>
      <c r="D1666" s="40"/>
      <c r="E1666" s="32"/>
      <c r="F1666" s="34"/>
      <c r="G1666" s="32"/>
      <c r="H1666" s="32"/>
      <c r="I1666" s="13"/>
      <c r="J1666" s="13"/>
      <c r="K1666" s="14"/>
      <c r="L1666" s="13"/>
      <c r="M1666" s="14"/>
      <c r="N1666" s="15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</row>
    <row r="1667">
      <c r="A1667" s="31"/>
      <c r="B1667" s="31"/>
      <c r="C1667" s="32"/>
      <c r="D1667" s="40"/>
      <c r="E1667" s="32"/>
      <c r="F1667" s="34"/>
      <c r="G1667" s="32"/>
      <c r="H1667" s="32"/>
      <c r="I1667" s="13"/>
      <c r="J1667" s="13"/>
      <c r="K1667" s="14"/>
      <c r="L1667" s="13"/>
      <c r="M1667" s="14"/>
      <c r="N1667" s="15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</row>
    <row r="1668">
      <c r="A1668" s="31"/>
      <c r="B1668" s="31"/>
      <c r="C1668" s="32"/>
      <c r="D1668" s="40"/>
      <c r="E1668" s="32"/>
      <c r="F1668" s="34"/>
      <c r="G1668" s="32"/>
      <c r="H1668" s="32"/>
      <c r="I1668" s="13"/>
      <c r="J1668" s="13"/>
      <c r="K1668" s="14"/>
      <c r="L1668" s="13"/>
      <c r="M1668" s="14"/>
      <c r="N1668" s="15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</row>
    <row r="1669">
      <c r="A1669" s="31"/>
      <c r="B1669" s="31"/>
      <c r="C1669" s="32"/>
      <c r="D1669" s="40"/>
      <c r="E1669" s="32"/>
      <c r="F1669" s="34"/>
      <c r="G1669" s="32"/>
      <c r="H1669" s="32"/>
      <c r="K1669" s="41"/>
      <c r="M1669" s="41"/>
      <c r="N1669" s="42"/>
    </row>
    <row r="1670">
      <c r="A1670" s="31"/>
      <c r="B1670" s="31"/>
      <c r="C1670" s="32"/>
      <c r="D1670" s="40"/>
      <c r="E1670" s="32"/>
      <c r="F1670" s="34"/>
      <c r="G1670" s="32"/>
      <c r="H1670" s="32"/>
      <c r="K1670" s="41"/>
      <c r="M1670" s="41"/>
      <c r="N1670" s="42"/>
    </row>
    <row r="1671">
      <c r="A1671" s="31"/>
      <c r="B1671" s="31"/>
      <c r="C1671" s="32"/>
      <c r="D1671" s="40"/>
      <c r="E1671" s="32"/>
      <c r="F1671" s="34"/>
      <c r="G1671" s="32"/>
      <c r="H1671" s="32"/>
      <c r="K1671" s="41"/>
      <c r="M1671" s="41"/>
      <c r="N1671" s="42"/>
    </row>
    <row r="1672">
      <c r="A1672" s="31"/>
      <c r="B1672" s="31"/>
      <c r="C1672" s="32"/>
      <c r="D1672" s="40"/>
      <c r="E1672" s="32"/>
      <c r="F1672" s="34"/>
      <c r="G1672" s="32"/>
      <c r="H1672" s="32"/>
      <c r="K1672" s="41"/>
      <c r="M1672" s="41"/>
      <c r="N1672" s="42"/>
    </row>
    <row r="1673">
      <c r="A1673" s="31"/>
      <c r="B1673" s="31"/>
      <c r="C1673" s="32"/>
      <c r="D1673" s="40"/>
      <c r="E1673" s="32"/>
      <c r="F1673" s="34"/>
      <c r="G1673" s="32"/>
      <c r="H1673" s="32"/>
      <c r="K1673" s="41"/>
      <c r="M1673" s="41"/>
      <c r="N1673" s="42"/>
    </row>
    <row r="1674">
      <c r="A1674" s="31"/>
      <c r="B1674" s="31"/>
      <c r="C1674" s="32"/>
      <c r="D1674" s="40"/>
      <c r="E1674" s="32"/>
      <c r="F1674" s="34"/>
      <c r="G1674" s="32"/>
      <c r="H1674" s="32"/>
      <c r="K1674" s="41"/>
      <c r="M1674" s="41"/>
      <c r="N1674" s="42"/>
    </row>
    <row r="1675">
      <c r="A1675" s="31"/>
      <c r="B1675" s="31"/>
      <c r="C1675" s="32"/>
      <c r="D1675" s="40"/>
      <c r="E1675" s="32"/>
      <c r="F1675" s="34"/>
      <c r="G1675" s="32"/>
      <c r="H1675" s="32"/>
      <c r="K1675" s="41"/>
      <c r="M1675" s="41"/>
      <c r="N1675" s="42"/>
    </row>
    <row r="1676">
      <c r="A1676" s="31"/>
      <c r="B1676" s="31"/>
      <c r="C1676" s="32"/>
      <c r="D1676" s="40"/>
      <c r="E1676" s="32"/>
      <c r="F1676" s="34"/>
      <c r="G1676" s="32"/>
      <c r="H1676" s="32"/>
      <c r="K1676" s="41"/>
      <c r="M1676" s="41"/>
      <c r="N1676" s="42"/>
    </row>
    <row r="1677">
      <c r="A1677" s="31"/>
      <c r="B1677" s="31"/>
      <c r="C1677" s="32"/>
      <c r="D1677" s="40"/>
      <c r="E1677" s="32"/>
      <c r="F1677" s="34"/>
      <c r="G1677" s="32"/>
      <c r="H1677" s="32"/>
      <c r="K1677" s="41"/>
      <c r="M1677" s="41"/>
      <c r="N1677" s="42"/>
    </row>
    <row r="1678">
      <c r="A1678" s="31"/>
      <c r="B1678" s="31"/>
      <c r="C1678" s="32"/>
      <c r="D1678" s="40"/>
      <c r="E1678" s="32"/>
      <c r="F1678" s="34"/>
      <c r="G1678" s="32"/>
      <c r="H1678" s="32"/>
      <c r="K1678" s="41"/>
      <c r="M1678" s="41"/>
      <c r="N1678" s="42"/>
    </row>
    <row r="1679">
      <c r="A1679" s="31"/>
      <c r="B1679" s="31"/>
      <c r="C1679" s="32"/>
      <c r="D1679" s="40"/>
      <c r="E1679" s="32"/>
      <c r="F1679" s="34"/>
      <c r="G1679" s="32"/>
      <c r="H1679" s="32"/>
      <c r="K1679" s="41"/>
      <c r="M1679" s="41"/>
      <c r="N1679" s="42"/>
    </row>
    <row r="1680">
      <c r="A1680" s="31"/>
      <c r="B1680" s="31"/>
      <c r="C1680" s="32"/>
      <c r="D1680" s="40"/>
      <c r="E1680" s="32"/>
      <c r="F1680" s="34"/>
      <c r="G1680" s="32"/>
      <c r="H1680" s="32"/>
      <c r="K1680" s="41"/>
      <c r="M1680" s="41"/>
      <c r="N1680" s="42"/>
    </row>
    <row r="1681">
      <c r="A1681" s="31"/>
      <c r="B1681" s="31"/>
      <c r="C1681" s="32"/>
      <c r="D1681" s="40"/>
      <c r="E1681" s="32"/>
      <c r="F1681" s="34"/>
      <c r="G1681" s="32"/>
      <c r="H1681" s="32"/>
      <c r="K1681" s="41"/>
      <c r="M1681" s="41"/>
      <c r="N1681" s="42"/>
    </row>
    <row r="1682">
      <c r="A1682" s="31"/>
      <c r="B1682" s="31"/>
      <c r="C1682" s="32"/>
      <c r="D1682" s="40"/>
      <c r="E1682" s="32"/>
      <c r="F1682" s="34"/>
      <c r="G1682" s="32"/>
      <c r="H1682" s="32"/>
      <c r="K1682" s="41"/>
      <c r="M1682" s="41"/>
      <c r="N1682" s="42"/>
    </row>
    <row r="1683">
      <c r="A1683" s="31"/>
      <c r="B1683" s="31"/>
      <c r="C1683" s="32"/>
      <c r="D1683" s="40"/>
      <c r="E1683" s="32"/>
      <c r="F1683" s="34"/>
      <c r="G1683" s="32"/>
      <c r="H1683" s="32"/>
      <c r="K1683" s="41"/>
      <c r="M1683" s="41"/>
      <c r="N1683" s="42"/>
    </row>
    <row r="1684">
      <c r="A1684" s="31"/>
      <c r="B1684" s="31"/>
      <c r="C1684" s="32"/>
      <c r="D1684" s="40"/>
      <c r="E1684" s="32"/>
      <c r="F1684" s="34"/>
      <c r="G1684" s="32"/>
      <c r="H1684" s="32"/>
      <c r="K1684" s="41"/>
      <c r="M1684" s="41"/>
      <c r="N1684" s="42"/>
    </row>
    <row r="1685">
      <c r="A1685" s="31"/>
      <c r="B1685" s="31"/>
      <c r="C1685" s="32"/>
      <c r="D1685" s="40"/>
      <c r="E1685" s="32"/>
      <c r="F1685" s="34"/>
      <c r="G1685" s="32"/>
      <c r="H1685" s="32"/>
      <c r="K1685" s="41"/>
      <c r="M1685" s="41"/>
      <c r="N1685" s="42"/>
    </row>
    <row r="1686">
      <c r="A1686" s="31"/>
      <c r="B1686" s="31"/>
      <c r="C1686" s="32"/>
      <c r="D1686" s="40"/>
      <c r="E1686" s="32"/>
      <c r="F1686" s="34"/>
      <c r="G1686" s="32"/>
      <c r="H1686" s="32"/>
      <c r="K1686" s="41"/>
      <c r="M1686" s="41"/>
      <c r="N1686" s="42"/>
    </row>
    <row r="1687">
      <c r="A1687" s="31"/>
      <c r="B1687" s="31"/>
      <c r="C1687" s="32"/>
      <c r="D1687" s="40"/>
      <c r="E1687" s="32"/>
      <c r="F1687" s="34"/>
      <c r="G1687" s="32"/>
      <c r="H1687" s="32"/>
      <c r="K1687" s="41"/>
      <c r="M1687" s="41"/>
      <c r="N1687" s="42"/>
    </row>
    <row r="1688">
      <c r="A1688" s="31"/>
      <c r="B1688" s="31"/>
      <c r="C1688" s="32"/>
      <c r="D1688" s="40"/>
      <c r="E1688" s="32"/>
      <c r="F1688" s="34"/>
      <c r="G1688" s="32"/>
      <c r="H1688" s="32"/>
      <c r="K1688" s="41"/>
      <c r="M1688" s="41"/>
      <c r="N1688" s="42"/>
    </row>
    <row r="1689">
      <c r="A1689" s="31"/>
      <c r="B1689" s="31"/>
      <c r="C1689" s="32"/>
      <c r="D1689" s="40"/>
      <c r="E1689" s="32"/>
      <c r="F1689" s="34"/>
      <c r="G1689" s="32"/>
      <c r="H1689" s="32"/>
      <c r="K1689" s="41"/>
      <c r="M1689" s="41"/>
      <c r="N1689" s="42"/>
    </row>
    <row r="1690">
      <c r="A1690" s="31"/>
      <c r="B1690" s="31"/>
      <c r="C1690" s="32"/>
      <c r="D1690" s="40"/>
      <c r="E1690" s="32"/>
      <c r="F1690" s="34"/>
      <c r="G1690" s="32"/>
      <c r="H1690" s="32"/>
      <c r="K1690" s="41"/>
      <c r="M1690" s="41"/>
      <c r="N1690" s="42"/>
    </row>
    <row r="1691">
      <c r="A1691" s="31"/>
      <c r="B1691" s="31"/>
      <c r="C1691" s="32"/>
      <c r="D1691" s="40"/>
      <c r="E1691" s="32"/>
      <c r="F1691" s="34"/>
      <c r="G1691" s="32"/>
      <c r="H1691" s="32"/>
      <c r="K1691" s="41"/>
      <c r="M1691" s="41"/>
      <c r="N1691" s="42"/>
    </row>
    <row r="1692">
      <c r="A1692" s="31"/>
      <c r="B1692" s="31"/>
      <c r="C1692" s="32"/>
      <c r="D1692" s="40"/>
      <c r="E1692" s="32"/>
      <c r="F1692" s="34"/>
      <c r="G1692" s="32"/>
      <c r="H1692" s="32"/>
      <c r="K1692" s="41"/>
      <c r="M1692" s="41"/>
      <c r="N1692" s="42"/>
    </row>
    <row r="1693">
      <c r="A1693" s="31"/>
      <c r="B1693" s="31"/>
      <c r="C1693" s="32"/>
      <c r="D1693" s="40"/>
      <c r="E1693" s="32"/>
      <c r="F1693" s="34"/>
      <c r="G1693" s="32"/>
      <c r="H1693" s="32"/>
      <c r="K1693" s="41"/>
      <c r="M1693" s="41"/>
      <c r="N1693" s="42"/>
    </row>
    <row r="1694">
      <c r="A1694" s="31"/>
      <c r="B1694" s="31"/>
      <c r="C1694" s="32"/>
      <c r="D1694" s="40"/>
      <c r="E1694" s="32"/>
      <c r="F1694" s="34"/>
      <c r="G1694" s="32"/>
      <c r="H1694" s="32"/>
      <c r="K1694" s="41"/>
      <c r="M1694" s="41"/>
      <c r="N1694" s="42"/>
    </row>
    <row r="1695">
      <c r="A1695" s="31"/>
      <c r="B1695" s="31"/>
      <c r="C1695" s="32"/>
      <c r="D1695" s="40"/>
      <c r="E1695" s="32"/>
      <c r="F1695" s="34"/>
      <c r="G1695" s="32"/>
      <c r="H1695" s="32"/>
      <c r="K1695" s="41"/>
      <c r="M1695" s="41"/>
      <c r="N1695" s="42"/>
    </row>
    <row r="1696">
      <c r="A1696" s="31"/>
      <c r="B1696" s="31"/>
      <c r="C1696" s="32"/>
      <c r="D1696" s="40"/>
      <c r="E1696" s="32"/>
      <c r="F1696" s="34"/>
      <c r="G1696" s="32"/>
      <c r="H1696" s="32"/>
      <c r="K1696" s="41"/>
      <c r="M1696" s="41"/>
      <c r="N1696" s="42"/>
    </row>
    <row r="1697">
      <c r="A1697" s="31"/>
      <c r="B1697" s="31"/>
      <c r="C1697" s="32"/>
      <c r="D1697" s="40"/>
      <c r="E1697" s="32"/>
      <c r="F1697" s="34"/>
      <c r="G1697" s="32"/>
      <c r="H1697" s="32"/>
      <c r="K1697" s="41"/>
      <c r="M1697" s="41"/>
      <c r="N1697" s="42"/>
    </row>
    <row r="1698">
      <c r="A1698" s="31"/>
      <c r="B1698" s="31"/>
      <c r="C1698" s="32"/>
      <c r="D1698" s="40"/>
      <c r="E1698" s="32"/>
      <c r="F1698" s="34"/>
      <c r="G1698" s="32"/>
      <c r="H1698" s="32"/>
      <c r="K1698" s="41"/>
      <c r="M1698" s="41"/>
      <c r="N1698" s="42"/>
    </row>
    <row r="1699">
      <c r="A1699" s="31"/>
      <c r="B1699" s="31"/>
      <c r="C1699" s="32"/>
      <c r="D1699" s="40"/>
      <c r="E1699" s="32"/>
      <c r="F1699" s="34"/>
      <c r="G1699" s="32"/>
      <c r="H1699" s="32"/>
      <c r="K1699" s="41"/>
      <c r="M1699" s="41"/>
      <c r="N1699" s="42"/>
    </row>
    <row r="1700">
      <c r="A1700" s="31"/>
      <c r="B1700" s="31"/>
      <c r="C1700" s="32"/>
      <c r="D1700" s="40"/>
      <c r="E1700" s="32"/>
      <c r="F1700" s="34"/>
      <c r="G1700" s="32"/>
      <c r="H1700" s="32"/>
      <c r="K1700" s="41"/>
      <c r="M1700" s="41"/>
      <c r="N1700" s="42"/>
    </row>
    <row r="1701">
      <c r="A1701" s="31"/>
      <c r="B1701" s="31"/>
      <c r="C1701" s="32"/>
      <c r="D1701" s="40"/>
      <c r="E1701" s="32"/>
      <c r="F1701" s="34"/>
      <c r="G1701" s="32"/>
      <c r="H1701" s="32"/>
      <c r="K1701" s="41"/>
      <c r="M1701" s="41"/>
      <c r="N1701" s="42"/>
    </row>
    <row r="1702">
      <c r="A1702" s="31"/>
      <c r="B1702" s="31"/>
      <c r="C1702" s="32"/>
      <c r="D1702" s="40"/>
      <c r="E1702" s="32"/>
      <c r="F1702" s="34"/>
      <c r="G1702" s="32"/>
      <c r="H1702" s="32"/>
      <c r="K1702" s="41"/>
      <c r="M1702" s="41"/>
      <c r="N1702" s="42"/>
    </row>
    <row r="1703">
      <c r="A1703" s="31"/>
      <c r="B1703" s="31"/>
      <c r="C1703" s="32"/>
      <c r="D1703" s="40"/>
      <c r="E1703" s="32"/>
      <c r="F1703" s="34"/>
      <c r="G1703" s="32"/>
      <c r="H1703" s="32"/>
      <c r="K1703" s="41"/>
      <c r="M1703" s="41"/>
      <c r="N1703" s="42"/>
    </row>
    <row r="1704">
      <c r="A1704" s="31"/>
      <c r="B1704" s="31"/>
      <c r="C1704" s="32"/>
      <c r="D1704" s="40"/>
      <c r="E1704" s="32"/>
      <c r="F1704" s="34"/>
      <c r="G1704" s="32"/>
      <c r="H1704" s="32"/>
      <c r="K1704" s="41"/>
      <c r="M1704" s="41"/>
      <c r="N1704" s="42"/>
    </row>
    <row r="1705">
      <c r="A1705" s="31"/>
      <c r="B1705" s="31"/>
      <c r="C1705" s="32"/>
      <c r="D1705" s="40"/>
      <c r="E1705" s="32"/>
      <c r="F1705" s="34"/>
      <c r="G1705" s="32"/>
      <c r="H1705" s="32"/>
      <c r="K1705" s="41"/>
      <c r="M1705" s="41"/>
      <c r="N1705" s="42"/>
    </row>
    <row r="1706">
      <c r="A1706" s="31"/>
      <c r="B1706" s="31"/>
      <c r="C1706" s="32"/>
      <c r="D1706" s="40"/>
      <c r="E1706" s="32"/>
      <c r="F1706" s="34"/>
      <c r="G1706" s="32"/>
      <c r="H1706" s="32"/>
      <c r="K1706" s="41"/>
      <c r="M1706" s="41"/>
      <c r="N1706" s="42"/>
    </row>
    <row r="1707">
      <c r="A1707" s="31"/>
      <c r="B1707" s="31"/>
      <c r="C1707" s="32"/>
      <c r="D1707" s="40"/>
      <c r="E1707" s="32"/>
      <c r="F1707" s="34"/>
      <c r="G1707" s="32"/>
      <c r="H1707" s="32"/>
      <c r="K1707" s="41"/>
      <c r="M1707" s="41"/>
      <c r="N1707" s="42"/>
    </row>
    <row r="1708">
      <c r="A1708" s="31"/>
      <c r="B1708" s="31"/>
      <c r="C1708" s="32"/>
      <c r="D1708" s="40"/>
      <c r="E1708" s="32"/>
      <c r="F1708" s="34"/>
      <c r="G1708" s="32"/>
      <c r="H1708" s="32"/>
      <c r="K1708" s="41"/>
      <c r="M1708" s="41"/>
      <c r="N1708" s="42"/>
    </row>
    <row r="1709">
      <c r="A1709" s="31"/>
      <c r="B1709" s="31"/>
      <c r="C1709" s="32"/>
      <c r="D1709" s="40"/>
      <c r="E1709" s="32"/>
      <c r="F1709" s="34"/>
      <c r="G1709" s="32"/>
      <c r="H1709" s="32"/>
      <c r="K1709" s="41"/>
      <c r="M1709" s="41"/>
      <c r="N1709" s="42"/>
    </row>
    <row r="1710">
      <c r="A1710" s="31"/>
      <c r="B1710" s="31"/>
      <c r="C1710" s="32"/>
      <c r="D1710" s="40"/>
      <c r="E1710" s="32"/>
      <c r="F1710" s="34"/>
      <c r="G1710" s="32"/>
      <c r="H1710" s="32"/>
      <c r="K1710" s="41"/>
      <c r="M1710" s="41"/>
      <c r="N1710" s="42"/>
    </row>
    <row r="1711">
      <c r="A1711" s="31"/>
      <c r="B1711" s="31"/>
      <c r="C1711" s="32"/>
      <c r="D1711" s="40"/>
      <c r="E1711" s="32"/>
      <c r="F1711" s="34"/>
      <c r="G1711" s="32"/>
      <c r="H1711" s="32"/>
      <c r="K1711" s="41"/>
      <c r="M1711" s="41"/>
      <c r="N1711" s="42"/>
    </row>
    <row r="1712">
      <c r="A1712" s="31"/>
      <c r="B1712" s="31"/>
      <c r="C1712" s="32"/>
      <c r="D1712" s="40"/>
      <c r="E1712" s="32"/>
      <c r="F1712" s="34"/>
      <c r="G1712" s="32"/>
      <c r="H1712" s="32"/>
      <c r="K1712" s="41"/>
      <c r="M1712" s="41"/>
      <c r="N1712" s="42"/>
    </row>
    <row r="1713">
      <c r="A1713" s="31"/>
      <c r="B1713" s="31"/>
      <c r="C1713" s="32"/>
      <c r="D1713" s="40"/>
      <c r="E1713" s="32"/>
      <c r="F1713" s="34"/>
      <c r="G1713" s="32"/>
      <c r="H1713" s="32"/>
      <c r="K1713" s="41"/>
      <c r="M1713" s="41"/>
      <c r="N1713" s="42"/>
    </row>
    <row r="1714">
      <c r="A1714" s="31"/>
      <c r="B1714" s="31"/>
      <c r="C1714" s="32"/>
      <c r="D1714" s="40"/>
      <c r="E1714" s="32"/>
      <c r="F1714" s="34"/>
      <c r="G1714" s="32"/>
      <c r="H1714" s="32"/>
      <c r="K1714" s="41"/>
      <c r="M1714" s="41"/>
      <c r="N1714" s="42"/>
    </row>
    <row r="1715">
      <c r="A1715" s="31"/>
      <c r="B1715" s="31"/>
      <c r="C1715" s="32"/>
      <c r="D1715" s="40"/>
      <c r="E1715" s="32"/>
      <c r="F1715" s="34"/>
      <c r="G1715" s="32"/>
      <c r="H1715" s="32"/>
      <c r="K1715" s="41"/>
      <c r="M1715" s="41"/>
      <c r="N1715" s="42"/>
    </row>
    <row r="1716">
      <c r="A1716" s="31"/>
      <c r="B1716" s="31"/>
      <c r="C1716" s="32"/>
      <c r="D1716" s="40"/>
      <c r="E1716" s="32"/>
      <c r="F1716" s="34"/>
      <c r="G1716" s="32"/>
      <c r="H1716" s="32"/>
      <c r="K1716" s="41"/>
      <c r="M1716" s="41"/>
      <c r="N1716" s="42"/>
    </row>
    <row r="1717">
      <c r="A1717" s="31"/>
      <c r="B1717" s="31"/>
      <c r="C1717" s="32"/>
      <c r="D1717" s="40"/>
      <c r="E1717" s="32"/>
      <c r="F1717" s="34"/>
      <c r="G1717" s="32"/>
      <c r="H1717" s="32"/>
      <c r="K1717" s="41"/>
      <c r="M1717" s="41"/>
      <c r="N1717" s="42"/>
    </row>
    <row r="1718">
      <c r="A1718" s="31"/>
      <c r="B1718" s="31"/>
      <c r="C1718" s="32"/>
      <c r="D1718" s="40"/>
      <c r="E1718" s="32"/>
      <c r="F1718" s="34"/>
      <c r="G1718" s="32"/>
      <c r="H1718" s="32"/>
      <c r="K1718" s="41"/>
      <c r="M1718" s="41"/>
      <c r="N1718" s="42"/>
    </row>
    <row r="1719">
      <c r="A1719" s="31"/>
      <c r="B1719" s="31"/>
      <c r="C1719" s="32"/>
      <c r="D1719" s="40"/>
      <c r="E1719" s="32"/>
      <c r="F1719" s="34"/>
      <c r="G1719" s="32"/>
      <c r="H1719" s="32"/>
      <c r="K1719" s="41"/>
      <c r="M1719" s="41"/>
      <c r="N1719" s="42"/>
    </row>
    <row r="1720">
      <c r="A1720" s="31"/>
      <c r="B1720" s="31"/>
      <c r="C1720" s="32"/>
      <c r="D1720" s="40"/>
      <c r="E1720" s="32"/>
      <c r="F1720" s="34"/>
      <c r="G1720" s="32"/>
      <c r="H1720" s="32"/>
      <c r="K1720" s="41"/>
      <c r="M1720" s="41"/>
      <c r="N1720" s="42"/>
    </row>
    <row r="1721">
      <c r="A1721" s="31"/>
      <c r="B1721" s="31"/>
      <c r="C1721" s="32"/>
      <c r="D1721" s="40"/>
      <c r="E1721" s="32"/>
      <c r="F1721" s="34"/>
      <c r="G1721" s="32"/>
      <c r="H1721" s="32"/>
      <c r="K1721" s="41"/>
      <c r="M1721" s="41"/>
      <c r="N1721" s="42"/>
    </row>
    <row r="1722">
      <c r="A1722" s="31"/>
      <c r="B1722" s="31"/>
      <c r="C1722" s="32"/>
      <c r="D1722" s="40"/>
      <c r="E1722" s="32"/>
      <c r="F1722" s="34"/>
      <c r="G1722" s="32"/>
      <c r="H1722" s="32"/>
      <c r="K1722" s="41"/>
      <c r="M1722" s="41"/>
      <c r="N1722" s="42"/>
    </row>
    <row r="1723">
      <c r="A1723" s="31"/>
      <c r="B1723" s="31"/>
      <c r="C1723" s="32"/>
      <c r="D1723" s="40"/>
      <c r="E1723" s="32"/>
      <c r="F1723" s="34"/>
      <c r="G1723" s="32"/>
      <c r="H1723" s="32"/>
      <c r="K1723" s="41"/>
      <c r="M1723" s="41"/>
      <c r="N1723" s="42"/>
    </row>
    <row r="1724">
      <c r="A1724" s="31"/>
      <c r="B1724" s="31"/>
      <c r="C1724" s="32"/>
      <c r="D1724" s="40"/>
      <c r="E1724" s="32"/>
      <c r="F1724" s="34"/>
      <c r="G1724" s="32"/>
      <c r="H1724" s="32"/>
      <c r="K1724" s="41"/>
      <c r="M1724" s="41"/>
      <c r="N1724" s="42"/>
    </row>
    <row r="1725">
      <c r="A1725" s="31"/>
      <c r="B1725" s="31"/>
      <c r="C1725" s="32"/>
      <c r="D1725" s="40"/>
      <c r="E1725" s="32"/>
      <c r="F1725" s="34"/>
      <c r="G1725" s="32"/>
      <c r="H1725" s="32"/>
      <c r="K1725" s="41"/>
      <c r="M1725" s="41"/>
      <c r="N1725" s="42"/>
    </row>
    <row r="1726">
      <c r="A1726" s="31"/>
      <c r="B1726" s="31"/>
      <c r="C1726" s="32"/>
      <c r="D1726" s="40"/>
      <c r="E1726" s="32"/>
      <c r="F1726" s="34"/>
      <c r="G1726" s="32"/>
      <c r="H1726" s="32"/>
      <c r="K1726" s="41"/>
      <c r="M1726" s="41"/>
      <c r="N1726" s="42"/>
    </row>
    <row r="1727">
      <c r="A1727" s="31"/>
      <c r="B1727" s="31"/>
      <c r="C1727" s="32"/>
      <c r="D1727" s="40"/>
      <c r="E1727" s="32"/>
      <c r="F1727" s="34"/>
      <c r="G1727" s="32"/>
      <c r="H1727" s="32"/>
      <c r="K1727" s="41"/>
      <c r="M1727" s="41"/>
      <c r="N1727" s="42"/>
    </row>
    <row r="1728">
      <c r="A1728" s="31"/>
      <c r="B1728" s="31"/>
      <c r="C1728" s="32"/>
      <c r="D1728" s="40"/>
      <c r="E1728" s="32"/>
      <c r="F1728" s="34"/>
      <c r="G1728" s="32"/>
      <c r="H1728" s="32"/>
      <c r="K1728" s="41"/>
      <c r="M1728" s="41"/>
      <c r="N1728" s="42"/>
    </row>
    <row r="1729">
      <c r="A1729" s="31"/>
      <c r="B1729" s="31"/>
      <c r="C1729" s="32"/>
      <c r="D1729" s="40"/>
      <c r="E1729" s="32"/>
      <c r="F1729" s="34"/>
      <c r="G1729" s="32"/>
      <c r="H1729" s="32"/>
      <c r="K1729" s="41"/>
      <c r="M1729" s="41"/>
      <c r="N1729" s="42"/>
    </row>
    <row r="1730">
      <c r="A1730" s="31"/>
      <c r="B1730" s="31"/>
      <c r="C1730" s="32"/>
      <c r="D1730" s="40"/>
      <c r="E1730" s="32"/>
      <c r="F1730" s="34"/>
      <c r="G1730" s="32"/>
      <c r="H1730" s="32"/>
      <c r="K1730" s="41"/>
      <c r="M1730" s="41"/>
      <c r="N1730" s="42"/>
    </row>
    <row r="1731">
      <c r="A1731" s="31"/>
      <c r="B1731" s="31"/>
      <c r="C1731" s="32"/>
      <c r="D1731" s="40"/>
      <c r="E1731" s="32"/>
      <c r="F1731" s="34"/>
      <c r="G1731" s="32"/>
      <c r="H1731" s="32"/>
      <c r="K1731" s="41"/>
      <c r="M1731" s="41"/>
      <c r="N1731" s="42"/>
    </row>
    <row r="1732">
      <c r="A1732" s="31"/>
      <c r="B1732" s="31"/>
      <c r="C1732" s="32"/>
      <c r="D1732" s="40"/>
      <c r="E1732" s="32"/>
      <c r="F1732" s="34"/>
      <c r="G1732" s="32"/>
      <c r="H1732" s="32"/>
      <c r="K1732" s="41"/>
      <c r="M1732" s="41"/>
      <c r="N1732" s="42"/>
    </row>
    <row r="1733">
      <c r="A1733" s="31"/>
      <c r="B1733" s="31"/>
      <c r="C1733" s="32"/>
      <c r="D1733" s="40"/>
      <c r="E1733" s="32"/>
      <c r="F1733" s="34"/>
      <c r="G1733" s="32"/>
      <c r="H1733" s="32"/>
      <c r="K1733" s="41"/>
      <c r="M1733" s="41"/>
      <c r="N1733" s="42"/>
    </row>
    <row r="1734">
      <c r="A1734" s="31"/>
      <c r="B1734" s="31"/>
      <c r="C1734" s="32"/>
      <c r="D1734" s="40"/>
      <c r="E1734" s="32"/>
      <c r="F1734" s="34"/>
      <c r="G1734" s="32"/>
      <c r="H1734" s="32"/>
      <c r="K1734" s="41"/>
      <c r="M1734" s="41"/>
      <c r="N1734" s="42"/>
    </row>
    <row r="1735">
      <c r="A1735" s="31"/>
      <c r="B1735" s="31"/>
      <c r="C1735" s="32"/>
      <c r="D1735" s="40"/>
      <c r="E1735" s="32"/>
      <c r="F1735" s="34"/>
      <c r="G1735" s="32"/>
      <c r="H1735" s="32"/>
      <c r="K1735" s="41"/>
      <c r="M1735" s="41"/>
      <c r="N1735" s="42"/>
    </row>
    <row r="1736">
      <c r="A1736" s="31"/>
      <c r="B1736" s="31"/>
      <c r="C1736" s="32"/>
      <c r="D1736" s="40"/>
      <c r="E1736" s="32"/>
      <c r="F1736" s="34"/>
      <c r="G1736" s="32"/>
      <c r="H1736" s="32"/>
      <c r="K1736" s="41"/>
      <c r="M1736" s="41"/>
      <c r="N1736" s="42"/>
    </row>
    <row r="1737">
      <c r="A1737" s="31"/>
      <c r="B1737" s="31"/>
      <c r="C1737" s="32"/>
      <c r="D1737" s="40"/>
      <c r="E1737" s="32"/>
      <c r="F1737" s="34"/>
      <c r="G1737" s="32"/>
      <c r="H1737" s="32"/>
      <c r="K1737" s="41"/>
      <c r="M1737" s="41"/>
      <c r="N1737" s="42"/>
    </row>
    <row r="1738">
      <c r="A1738" s="31"/>
      <c r="B1738" s="31"/>
      <c r="C1738" s="32"/>
      <c r="D1738" s="40"/>
      <c r="E1738" s="32"/>
      <c r="F1738" s="34"/>
      <c r="G1738" s="32"/>
      <c r="H1738" s="32"/>
      <c r="K1738" s="41"/>
      <c r="M1738" s="41"/>
      <c r="N1738" s="42"/>
    </row>
    <row r="1739">
      <c r="A1739" s="31"/>
      <c r="B1739" s="31"/>
      <c r="C1739" s="32"/>
      <c r="D1739" s="40"/>
      <c r="E1739" s="32"/>
      <c r="F1739" s="34"/>
      <c r="G1739" s="32"/>
      <c r="H1739" s="32"/>
      <c r="K1739" s="41"/>
      <c r="M1739" s="41"/>
      <c r="N1739" s="42"/>
    </row>
    <row r="1740">
      <c r="A1740" s="31"/>
      <c r="B1740" s="31"/>
      <c r="C1740" s="32"/>
      <c r="D1740" s="40"/>
      <c r="E1740" s="32"/>
      <c r="F1740" s="34"/>
      <c r="G1740" s="32"/>
      <c r="H1740" s="32"/>
      <c r="K1740" s="41"/>
      <c r="M1740" s="41"/>
      <c r="N1740" s="42"/>
    </row>
    <row r="1741">
      <c r="A1741" s="31"/>
      <c r="B1741" s="31"/>
      <c r="C1741" s="32"/>
      <c r="D1741" s="40"/>
      <c r="E1741" s="32"/>
      <c r="F1741" s="34"/>
      <c r="G1741" s="32"/>
      <c r="H1741" s="32"/>
      <c r="K1741" s="41"/>
      <c r="M1741" s="41"/>
      <c r="N1741" s="42"/>
    </row>
    <row r="1742">
      <c r="A1742" s="31"/>
      <c r="B1742" s="31"/>
      <c r="C1742" s="32"/>
      <c r="D1742" s="40"/>
      <c r="E1742" s="32"/>
      <c r="F1742" s="34"/>
      <c r="G1742" s="32"/>
      <c r="H1742" s="32"/>
      <c r="K1742" s="41"/>
      <c r="M1742" s="41"/>
      <c r="N1742" s="42"/>
    </row>
    <row r="1743">
      <c r="A1743" s="31"/>
      <c r="B1743" s="31"/>
      <c r="C1743" s="32"/>
      <c r="D1743" s="40"/>
      <c r="E1743" s="32"/>
      <c r="F1743" s="34"/>
      <c r="G1743" s="32"/>
      <c r="H1743" s="32"/>
      <c r="K1743" s="41"/>
      <c r="M1743" s="41"/>
      <c r="N1743" s="42"/>
    </row>
    <row r="1744">
      <c r="A1744" s="31"/>
      <c r="B1744" s="31"/>
      <c r="C1744" s="32"/>
      <c r="D1744" s="40"/>
      <c r="E1744" s="32"/>
      <c r="F1744" s="34"/>
      <c r="G1744" s="32"/>
      <c r="H1744" s="32"/>
      <c r="K1744" s="41"/>
      <c r="M1744" s="41"/>
      <c r="N1744" s="42"/>
    </row>
    <row r="1745">
      <c r="A1745" s="31"/>
      <c r="B1745" s="31"/>
      <c r="C1745" s="32"/>
      <c r="D1745" s="40"/>
      <c r="E1745" s="32"/>
      <c r="F1745" s="34"/>
      <c r="G1745" s="32"/>
      <c r="H1745" s="32"/>
      <c r="K1745" s="41"/>
      <c r="M1745" s="41"/>
      <c r="N1745" s="42"/>
    </row>
    <row r="1746">
      <c r="A1746" s="31"/>
      <c r="B1746" s="31"/>
      <c r="C1746" s="32"/>
      <c r="D1746" s="40"/>
      <c r="E1746" s="32"/>
      <c r="F1746" s="34"/>
      <c r="G1746" s="32"/>
      <c r="H1746" s="32"/>
      <c r="K1746" s="41"/>
      <c r="M1746" s="41"/>
      <c r="N1746" s="42"/>
    </row>
    <row r="1747">
      <c r="A1747" s="31"/>
      <c r="B1747" s="31"/>
      <c r="C1747" s="32"/>
      <c r="D1747" s="40"/>
      <c r="E1747" s="32"/>
      <c r="F1747" s="34"/>
      <c r="G1747" s="32"/>
      <c r="H1747" s="32"/>
      <c r="K1747" s="41"/>
      <c r="M1747" s="41"/>
      <c r="N1747" s="42"/>
    </row>
    <row r="1748">
      <c r="A1748" s="31"/>
      <c r="B1748" s="31"/>
      <c r="C1748" s="32"/>
      <c r="D1748" s="40"/>
      <c r="E1748" s="32"/>
      <c r="F1748" s="34"/>
      <c r="G1748" s="32"/>
      <c r="H1748" s="32"/>
      <c r="K1748" s="41"/>
      <c r="M1748" s="41"/>
      <c r="N1748" s="42"/>
    </row>
    <row r="1749">
      <c r="A1749" s="31"/>
      <c r="B1749" s="31"/>
      <c r="C1749" s="32"/>
      <c r="D1749" s="40"/>
      <c r="E1749" s="32"/>
      <c r="F1749" s="34"/>
      <c r="G1749" s="32"/>
      <c r="H1749" s="32"/>
      <c r="K1749" s="41"/>
      <c r="M1749" s="41"/>
      <c r="N1749" s="42"/>
    </row>
    <row r="1750">
      <c r="A1750" s="31"/>
      <c r="B1750" s="31"/>
      <c r="C1750" s="32"/>
      <c r="D1750" s="40"/>
      <c r="E1750" s="32"/>
      <c r="F1750" s="34"/>
      <c r="G1750" s="32"/>
      <c r="H1750" s="32"/>
      <c r="K1750" s="41"/>
      <c r="M1750" s="41"/>
      <c r="N1750" s="42"/>
    </row>
    <row r="1751">
      <c r="A1751" s="31"/>
      <c r="B1751" s="31"/>
      <c r="C1751" s="32"/>
      <c r="D1751" s="40"/>
      <c r="E1751" s="32"/>
      <c r="F1751" s="34"/>
      <c r="G1751" s="32"/>
      <c r="H1751" s="32"/>
      <c r="K1751" s="41"/>
      <c r="M1751" s="41"/>
      <c r="N1751" s="42"/>
    </row>
    <row r="1752">
      <c r="A1752" s="31"/>
      <c r="B1752" s="31"/>
      <c r="C1752" s="32"/>
      <c r="D1752" s="40"/>
      <c r="E1752" s="32"/>
      <c r="F1752" s="34"/>
      <c r="G1752" s="32"/>
      <c r="H1752" s="32"/>
      <c r="K1752" s="41"/>
      <c r="M1752" s="41"/>
      <c r="N1752" s="42"/>
    </row>
    <row r="1753">
      <c r="A1753" s="31"/>
      <c r="B1753" s="31"/>
      <c r="C1753" s="32"/>
      <c r="D1753" s="40"/>
      <c r="E1753" s="32"/>
      <c r="F1753" s="34"/>
      <c r="G1753" s="32"/>
      <c r="H1753" s="32"/>
      <c r="K1753" s="41"/>
      <c r="M1753" s="41"/>
      <c r="N1753" s="42"/>
    </row>
    <row r="1754">
      <c r="A1754" s="31"/>
      <c r="B1754" s="31"/>
      <c r="C1754" s="32"/>
      <c r="D1754" s="40"/>
      <c r="E1754" s="32"/>
      <c r="F1754" s="34"/>
      <c r="G1754" s="32"/>
      <c r="H1754" s="32"/>
      <c r="K1754" s="41"/>
      <c r="M1754" s="41"/>
      <c r="N1754" s="42"/>
    </row>
    <row r="1755">
      <c r="A1755" s="31"/>
      <c r="B1755" s="31"/>
      <c r="C1755" s="32"/>
      <c r="D1755" s="40"/>
      <c r="E1755" s="32"/>
      <c r="F1755" s="34"/>
      <c r="G1755" s="32"/>
      <c r="H1755" s="32"/>
      <c r="K1755" s="41"/>
      <c r="M1755" s="41"/>
      <c r="N1755" s="42"/>
    </row>
    <row r="1756">
      <c r="A1756" s="31"/>
      <c r="B1756" s="31"/>
      <c r="C1756" s="32"/>
      <c r="D1756" s="40"/>
      <c r="E1756" s="32"/>
      <c r="F1756" s="34"/>
      <c r="G1756" s="32"/>
      <c r="H1756" s="32"/>
      <c r="K1756" s="41"/>
      <c r="M1756" s="41"/>
      <c r="N1756" s="42"/>
    </row>
    <row r="1757">
      <c r="A1757" s="31"/>
      <c r="B1757" s="31"/>
      <c r="C1757" s="32"/>
      <c r="D1757" s="40"/>
      <c r="E1757" s="32"/>
      <c r="F1757" s="34"/>
      <c r="G1757" s="32"/>
      <c r="H1757" s="32"/>
      <c r="K1757" s="41"/>
      <c r="M1757" s="41"/>
      <c r="N1757" s="42"/>
    </row>
    <row r="1758">
      <c r="A1758" s="31"/>
      <c r="B1758" s="31"/>
      <c r="C1758" s="32"/>
      <c r="D1758" s="40"/>
      <c r="E1758" s="32"/>
      <c r="F1758" s="34"/>
      <c r="G1758" s="32"/>
      <c r="H1758" s="32"/>
      <c r="K1758" s="41"/>
      <c r="M1758" s="41"/>
      <c r="N1758" s="42"/>
    </row>
    <row r="1759">
      <c r="A1759" s="31"/>
      <c r="B1759" s="31"/>
      <c r="C1759" s="32"/>
      <c r="D1759" s="40"/>
      <c r="E1759" s="32"/>
      <c r="F1759" s="34"/>
      <c r="G1759" s="32"/>
      <c r="H1759" s="32"/>
      <c r="K1759" s="41"/>
      <c r="M1759" s="41"/>
      <c r="N1759" s="42"/>
    </row>
    <row r="1760">
      <c r="A1760" s="31"/>
      <c r="B1760" s="31"/>
      <c r="C1760" s="32"/>
      <c r="D1760" s="40"/>
      <c r="E1760" s="32"/>
      <c r="F1760" s="34"/>
      <c r="G1760" s="32"/>
      <c r="H1760" s="32"/>
      <c r="K1760" s="41"/>
      <c r="M1760" s="41"/>
      <c r="N1760" s="42"/>
    </row>
    <row r="1761">
      <c r="A1761" s="31"/>
      <c r="B1761" s="31"/>
      <c r="C1761" s="32"/>
      <c r="D1761" s="40"/>
      <c r="E1761" s="32"/>
      <c r="F1761" s="34"/>
      <c r="G1761" s="32"/>
      <c r="H1761" s="32"/>
      <c r="K1761" s="41"/>
      <c r="M1761" s="41"/>
      <c r="N1761" s="42"/>
    </row>
    <row r="1762">
      <c r="A1762" s="31"/>
      <c r="B1762" s="31"/>
      <c r="C1762" s="32"/>
      <c r="D1762" s="40"/>
      <c r="E1762" s="32"/>
      <c r="F1762" s="34"/>
      <c r="G1762" s="32"/>
      <c r="H1762" s="32"/>
      <c r="K1762" s="41"/>
      <c r="M1762" s="41"/>
      <c r="N1762" s="42"/>
    </row>
    <row r="1763">
      <c r="A1763" s="31"/>
      <c r="B1763" s="31"/>
      <c r="C1763" s="32"/>
      <c r="D1763" s="40"/>
      <c r="E1763" s="32"/>
      <c r="F1763" s="34"/>
      <c r="G1763" s="32"/>
      <c r="H1763" s="32"/>
      <c r="K1763" s="41"/>
      <c r="M1763" s="41"/>
      <c r="N1763" s="42"/>
    </row>
    <row r="1764">
      <c r="A1764" s="31"/>
      <c r="B1764" s="31"/>
      <c r="C1764" s="32"/>
      <c r="D1764" s="40"/>
      <c r="E1764" s="32"/>
      <c r="F1764" s="34"/>
      <c r="G1764" s="32"/>
      <c r="H1764" s="32"/>
      <c r="K1764" s="41"/>
      <c r="M1764" s="41"/>
      <c r="N1764" s="42"/>
    </row>
    <row r="1765">
      <c r="A1765" s="31"/>
      <c r="B1765" s="31"/>
      <c r="C1765" s="32"/>
      <c r="D1765" s="40"/>
      <c r="E1765" s="32"/>
      <c r="F1765" s="34"/>
      <c r="G1765" s="32"/>
      <c r="H1765" s="32"/>
      <c r="K1765" s="41"/>
      <c r="M1765" s="41"/>
      <c r="N1765" s="42"/>
    </row>
    <row r="1766">
      <c r="A1766" s="31"/>
      <c r="B1766" s="31"/>
      <c r="C1766" s="32"/>
      <c r="D1766" s="40"/>
      <c r="E1766" s="32"/>
      <c r="F1766" s="34"/>
      <c r="G1766" s="32"/>
      <c r="H1766" s="32"/>
      <c r="K1766" s="41"/>
      <c r="M1766" s="41"/>
      <c r="N1766" s="42"/>
    </row>
    <row r="1767">
      <c r="A1767" s="31"/>
      <c r="B1767" s="31"/>
      <c r="C1767" s="32"/>
      <c r="D1767" s="40"/>
      <c r="E1767" s="32"/>
      <c r="F1767" s="34"/>
      <c r="G1767" s="32"/>
      <c r="H1767" s="32"/>
      <c r="K1767" s="41"/>
      <c r="M1767" s="41"/>
      <c r="N1767" s="42"/>
    </row>
    <row r="1768">
      <c r="A1768" s="31"/>
      <c r="B1768" s="31"/>
      <c r="C1768" s="32"/>
      <c r="D1768" s="40"/>
      <c r="E1768" s="32"/>
      <c r="F1768" s="34"/>
      <c r="G1768" s="32"/>
      <c r="H1768" s="32"/>
      <c r="K1768" s="41"/>
      <c r="M1768" s="41"/>
      <c r="N1768" s="42"/>
    </row>
    <row r="1769">
      <c r="A1769" s="31"/>
      <c r="B1769" s="31"/>
      <c r="C1769" s="32"/>
      <c r="D1769" s="40"/>
      <c r="E1769" s="32"/>
      <c r="F1769" s="34"/>
      <c r="G1769" s="32"/>
      <c r="H1769" s="32"/>
      <c r="K1769" s="41"/>
      <c r="M1769" s="41"/>
      <c r="N1769" s="42"/>
    </row>
    <row r="1770">
      <c r="A1770" s="31"/>
      <c r="B1770" s="31"/>
      <c r="C1770" s="32"/>
      <c r="D1770" s="40"/>
      <c r="E1770" s="32"/>
      <c r="F1770" s="34"/>
      <c r="G1770" s="32"/>
      <c r="H1770" s="32"/>
      <c r="K1770" s="41"/>
      <c r="M1770" s="41"/>
      <c r="N1770" s="42"/>
    </row>
    <row r="1771">
      <c r="A1771" s="31"/>
      <c r="B1771" s="31"/>
      <c r="C1771" s="32"/>
      <c r="D1771" s="40"/>
      <c r="E1771" s="32"/>
      <c r="F1771" s="34"/>
      <c r="G1771" s="32"/>
      <c r="H1771" s="32"/>
      <c r="K1771" s="41"/>
      <c r="M1771" s="41"/>
      <c r="N1771" s="42"/>
    </row>
    <row r="1772">
      <c r="A1772" s="31"/>
      <c r="B1772" s="31"/>
      <c r="C1772" s="32"/>
      <c r="D1772" s="40"/>
      <c r="E1772" s="32"/>
      <c r="F1772" s="34"/>
      <c r="G1772" s="32"/>
      <c r="H1772" s="32"/>
      <c r="K1772" s="41"/>
      <c r="M1772" s="41"/>
      <c r="N1772" s="42"/>
    </row>
    <row r="1773">
      <c r="A1773" s="31"/>
      <c r="B1773" s="31"/>
      <c r="C1773" s="32"/>
      <c r="D1773" s="40"/>
      <c r="E1773" s="32"/>
      <c r="F1773" s="34"/>
      <c r="G1773" s="32"/>
      <c r="H1773" s="32"/>
      <c r="K1773" s="41"/>
      <c r="M1773" s="41"/>
      <c r="N1773" s="42"/>
    </row>
    <row r="1774">
      <c r="A1774" s="31"/>
      <c r="B1774" s="31"/>
      <c r="C1774" s="32"/>
      <c r="D1774" s="40"/>
      <c r="E1774" s="32"/>
      <c r="F1774" s="34"/>
      <c r="G1774" s="32"/>
      <c r="H1774" s="32"/>
      <c r="K1774" s="41"/>
      <c r="M1774" s="41"/>
      <c r="N1774" s="42"/>
    </row>
    <row r="1775">
      <c r="A1775" s="31"/>
      <c r="B1775" s="31"/>
      <c r="C1775" s="32"/>
      <c r="D1775" s="40"/>
      <c r="E1775" s="32"/>
      <c r="F1775" s="34"/>
      <c r="G1775" s="32"/>
      <c r="H1775" s="32"/>
      <c r="K1775" s="41"/>
      <c r="M1775" s="41"/>
      <c r="N1775" s="42"/>
    </row>
    <row r="1776">
      <c r="A1776" s="31"/>
      <c r="B1776" s="31"/>
      <c r="C1776" s="32"/>
      <c r="D1776" s="40"/>
      <c r="E1776" s="32"/>
      <c r="F1776" s="34"/>
      <c r="G1776" s="32"/>
      <c r="H1776" s="32"/>
      <c r="K1776" s="41"/>
      <c r="M1776" s="41"/>
      <c r="N1776" s="42"/>
    </row>
    <row r="1777">
      <c r="A1777" s="31"/>
      <c r="B1777" s="31"/>
      <c r="C1777" s="32"/>
      <c r="D1777" s="40"/>
      <c r="E1777" s="32"/>
      <c r="F1777" s="34"/>
      <c r="G1777" s="32"/>
      <c r="H1777" s="32"/>
      <c r="K1777" s="41"/>
      <c r="M1777" s="41"/>
      <c r="N1777" s="42"/>
    </row>
    <row r="1778">
      <c r="A1778" s="31"/>
      <c r="B1778" s="31"/>
      <c r="C1778" s="32"/>
      <c r="D1778" s="40"/>
      <c r="E1778" s="32"/>
      <c r="F1778" s="34"/>
      <c r="G1778" s="32"/>
      <c r="H1778" s="32"/>
      <c r="K1778" s="41"/>
      <c r="M1778" s="41"/>
      <c r="N1778" s="42"/>
    </row>
    <row r="1779">
      <c r="A1779" s="31"/>
      <c r="B1779" s="31"/>
      <c r="C1779" s="32"/>
      <c r="D1779" s="40"/>
      <c r="E1779" s="32"/>
      <c r="F1779" s="34"/>
      <c r="G1779" s="32"/>
      <c r="H1779" s="32"/>
      <c r="K1779" s="41"/>
      <c r="M1779" s="41"/>
      <c r="N1779" s="42"/>
    </row>
    <row r="1780">
      <c r="A1780" s="31"/>
      <c r="B1780" s="31"/>
      <c r="C1780" s="32"/>
      <c r="D1780" s="40"/>
      <c r="E1780" s="32"/>
      <c r="F1780" s="34"/>
      <c r="G1780" s="32"/>
      <c r="H1780" s="32"/>
      <c r="K1780" s="41"/>
      <c r="M1780" s="41"/>
      <c r="N1780" s="42"/>
    </row>
    <row r="1781">
      <c r="A1781" s="31"/>
      <c r="B1781" s="31"/>
      <c r="C1781" s="32"/>
      <c r="D1781" s="40"/>
      <c r="E1781" s="32"/>
      <c r="F1781" s="34"/>
      <c r="G1781" s="32"/>
      <c r="H1781" s="32"/>
      <c r="K1781" s="41"/>
      <c r="M1781" s="41"/>
      <c r="N1781" s="42"/>
    </row>
    <row r="1782">
      <c r="A1782" s="31"/>
      <c r="B1782" s="31"/>
      <c r="C1782" s="32"/>
      <c r="D1782" s="40"/>
      <c r="E1782" s="32"/>
      <c r="F1782" s="34"/>
      <c r="G1782" s="32"/>
      <c r="H1782" s="32"/>
      <c r="K1782" s="41"/>
      <c r="M1782" s="41"/>
      <c r="N1782" s="42"/>
    </row>
    <row r="1783">
      <c r="A1783" s="31"/>
      <c r="B1783" s="31"/>
      <c r="C1783" s="32"/>
      <c r="D1783" s="40"/>
      <c r="E1783" s="32"/>
      <c r="F1783" s="34"/>
      <c r="G1783" s="32"/>
      <c r="H1783" s="32"/>
      <c r="K1783" s="41"/>
      <c r="M1783" s="41"/>
      <c r="N1783" s="42"/>
    </row>
    <row r="1784">
      <c r="A1784" s="31"/>
      <c r="B1784" s="31"/>
      <c r="C1784" s="32"/>
      <c r="D1784" s="40"/>
      <c r="E1784" s="32"/>
      <c r="F1784" s="34"/>
      <c r="G1784" s="32"/>
      <c r="H1784" s="32"/>
      <c r="K1784" s="41"/>
      <c r="M1784" s="41"/>
      <c r="N1784" s="42"/>
    </row>
    <row r="1785">
      <c r="A1785" s="31"/>
      <c r="B1785" s="31"/>
      <c r="C1785" s="32"/>
      <c r="D1785" s="40"/>
      <c r="E1785" s="32"/>
      <c r="F1785" s="34"/>
      <c r="G1785" s="32"/>
      <c r="H1785" s="32"/>
      <c r="K1785" s="41"/>
      <c r="M1785" s="41"/>
      <c r="N1785" s="42"/>
    </row>
    <row r="1786">
      <c r="A1786" s="31"/>
      <c r="B1786" s="31"/>
      <c r="C1786" s="32"/>
      <c r="D1786" s="40"/>
      <c r="E1786" s="32"/>
      <c r="F1786" s="34"/>
      <c r="G1786" s="32"/>
      <c r="H1786" s="32"/>
      <c r="K1786" s="41"/>
      <c r="M1786" s="41"/>
      <c r="N1786" s="42"/>
    </row>
    <row r="1787">
      <c r="A1787" s="31"/>
      <c r="B1787" s="31"/>
      <c r="C1787" s="32"/>
      <c r="D1787" s="40"/>
      <c r="E1787" s="32"/>
      <c r="F1787" s="34"/>
      <c r="G1787" s="32"/>
      <c r="H1787" s="32"/>
      <c r="K1787" s="41"/>
      <c r="M1787" s="41"/>
      <c r="N1787" s="42"/>
    </row>
    <row r="1788">
      <c r="A1788" s="31"/>
      <c r="B1788" s="31"/>
      <c r="C1788" s="32"/>
      <c r="D1788" s="40"/>
      <c r="E1788" s="32"/>
      <c r="F1788" s="34"/>
      <c r="G1788" s="32"/>
      <c r="H1788" s="32"/>
      <c r="K1788" s="41"/>
      <c r="M1788" s="41"/>
      <c r="N1788" s="42"/>
    </row>
    <row r="1789">
      <c r="A1789" s="31"/>
      <c r="B1789" s="31"/>
      <c r="C1789" s="32"/>
      <c r="D1789" s="40"/>
      <c r="E1789" s="32"/>
      <c r="F1789" s="34"/>
      <c r="G1789" s="32"/>
      <c r="H1789" s="32"/>
      <c r="K1789" s="41"/>
      <c r="M1789" s="41"/>
      <c r="N1789" s="42"/>
    </row>
    <row r="1790">
      <c r="A1790" s="31"/>
      <c r="B1790" s="31"/>
      <c r="C1790" s="32"/>
      <c r="D1790" s="40"/>
      <c r="E1790" s="32"/>
      <c r="F1790" s="34"/>
      <c r="G1790" s="32"/>
      <c r="H1790" s="32"/>
      <c r="K1790" s="41"/>
      <c r="M1790" s="41"/>
      <c r="N1790" s="42"/>
    </row>
    <row r="1791">
      <c r="A1791" s="31"/>
      <c r="B1791" s="31"/>
      <c r="C1791" s="32"/>
      <c r="D1791" s="40"/>
      <c r="E1791" s="32"/>
      <c r="F1791" s="34"/>
      <c r="G1791" s="32"/>
      <c r="H1791" s="32"/>
      <c r="K1791" s="41"/>
      <c r="M1791" s="41"/>
      <c r="N1791" s="42"/>
    </row>
    <row r="1792">
      <c r="A1792" s="31"/>
      <c r="B1792" s="31"/>
      <c r="C1792" s="32"/>
      <c r="D1792" s="40"/>
      <c r="E1792" s="32"/>
      <c r="F1792" s="34"/>
      <c r="G1792" s="32"/>
      <c r="H1792" s="32"/>
      <c r="K1792" s="41"/>
      <c r="M1792" s="41"/>
      <c r="N1792" s="42"/>
    </row>
    <row r="1793">
      <c r="A1793" s="31"/>
      <c r="B1793" s="31"/>
      <c r="C1793" s="32"/>
      <c r="D1793" s="40"/>
      <c r="E1793" s="32"/>
      <c r="F1793" s="34"/>
      <c r="G1793" s="32"/>
      <c r="H1793" s="32"/>
      <c r="K1793" s="41"/>
      <c r="M1793" s="41"/>
      <c r="N1793" s="42"/>
    </row>
    <row r="1794">
      <c r="A1794" s="31"/>
      <c r="B1794" s="31"/>
      <c r="C1794" s="32"/>
      <c r="D1794" s="40"/>
      <c r="E1794" s="32"/>
      <c r="F1794" s="34"/>
      <c r="G1794" s="32"/>
      <c r="H1794" s="32"/>
      <c r="K1794" s="41"/>
      <c r="M1794" s="41"/>
      <c r="N1794" s="42"/>
    </row>
    <row r="1795">
      <c r="A1795" s="31"/>
      <c r="B1795" s="31"/>
      <c r="C1795" s="32"/>
      <c r="D1795" s="40"/>
      <c r="E1795" s="32"/>
      <c r="F1795" s="34"/>
      <c r="G1795" s="32"/>
      <c r="H1795" s="32"/>
      <c r="K1795" s="41"/>
      <c r="M1795" s="41"/>
      <c r="N1795" s="42"/>
    </row>
    <row r="1796">
      <c r="A1796" s="31"/>
      <c r="B1796" s="31"/>
      <c r="C1796" s="32"/>
      <c r="D1796" s="40"/>
      <c r="E1796" s="32"/>
      <c r="F1796" s="34"/>
      <c r="G1796" s="32"/>
      <c r="H1796" s="32"/>
      <c r="K1796" s="41"/>
      <c r="M1796" s="41"/>
      <c r="N1796" s="42"/>
    </row>
    <row r="1797">
      <c r="A1797" s="31"/>
      <c r="B1797" s="31"/>
      <c r="C1797" s="32"/>
      <c r="D1797" s="40"/>
      <c r="E1797" s="32"/>
      <c r="F1797" s="34"/>
      <c r="G1797" s="32"/>
      <c r="H1797" s="32"/>
      <c r="K1797" s="41"/>
      <c r="M1797" s="41"/>
      <c r="N1797" s="42"/>
    </row>
    <row r="1798">
      <c r="A1798" s="31"/>
      <c r="B1798" s="31"/>
      <c r="C1798" s="32"/>
      <c r="D1798" s="40"/>
      <c r="E1798" s="32"/>
      <c r="F1798" s="34"/>
      <c r="G1798" s="32"/>
      <c r="H1798" s="32"/>
      <c r="K1798" s="41"/>
      <c r="M1798" s="41"/>
      <c r="N1798" s="42"/>
    </row>
    <row r="1799">
      <c r="A1799" s="31"/>
      <c r="B1799" s="31"/>
      <c r="C1799" s="32"/>
      <c r="D1799" s="40"/>
      <c r="E1799" s="32"/>
      <c r="F1799" s="34"/>
      <c r="G1799" s="32"/>
      <c r="H1799" s="32"/>
      <c r="K1799" s="41"/>
      <c r="M1799" s="41"/>
      <c r="N1799" s="42"/>
    </row>
    <row r="1800">
      <c r="A1800" s="31"/>
      <c r="B1800" s="31"/>
      <c r="C1800" s="32"/>
      <c r="D1800" s="40"/>
      <c r="E1800" s="32"/>
      <c r="F1800" s="34"/>
      <c r="G1800" s="32"/>
      <c r="H1800" s="32"/>
      <c r="K1800" s="41"/>
      <c r="M1800" s="41"/>
      <c r="N1800" s="42"/>
    </row>
    <row r="1801">
      <c r="A1801" s="31"/>
      <c r="B1801" s="31"/>
      <c r="C1801" s="32"/>
      <c r="D1801" s="40"/>
      <c r="E1801" s="32"/>
      <c r="F1801" s="34"/>
      <c r="G1801" s="32"/>
      <c r="H1801" s="32"/>
      <c r="K1801" s="41"/>
      <c r="M1801" s="41"/>
      <c r="N1801" s="42"/>
    </row>
    <row r="1802">
      <c r="A1802" s="31"/>
      <c r="B1802" s="31"/>
      <c r="C1802" s="32"/>
      <c r="D1802" s="40"/>
      <c r="E1802" s="32"/>
      <c r="F1802" s="34"/>
      <c r="G1802" s="32"/>
      <c r="H1802" s="32"/>
      <c r="K1802" s="41"/>
      <c r="M1802" s="41"/>
      <c r="N1802" s="42"/>
    </row>
    <row r="1803">
      <c r="A1803" s="31"/>
      <c r="B1803" s="31"/>
      <c r="C1803" s="32"/>
      <c r="D1803" s="40"/>
      <c r="E1803" s="32"/>
      <c r="F1803" s="34"/>
      <c r="G1803" s="32"/>
      <c r="H1803" s="32"/>
      <c r="K1803" s="41"/>
      <c r="M1803" s="41"/>
      <c r="N1803" s="42"/>
    </row>
    <row r="1804">
      <c r="A1804" s="31"/>
      <c r="B1804" s="31"/>
      <c r="C1804" s="32"/>
      <c r="D1804" s="40"/>
      <c r="E1804" s="32"/>
      <c r="F1804" s="34"/>
      <c r="G1804" s="32"/>
      <c r="H1804" s="32"/>
      <c r="K1804" s="41"/>
      <c r="M1804" s="41"/>
      <c r="N1804" s="42"/>
    </row>
    <row r="1805">
      <c r="A1805" s="31"/>
      <c r="B1805" s="31"/>
      <c r="C1805" s="32"/>
      <c r="D1805" s="40"/>
      <c r="E1805" s="32"/>
      <c r="F1805" s="34"/>
      <c r="G1805" s="32"/>
      <c r="H1805" s="32"/>
      <c r="K1805" s="41"/>
      <c r="M1805" s="41"/>
      <c r="N1805" s="42"/>
    </row>
    <row r="1806">
      <c r="A1806" s="31"/>
      <c r="B1806" s="31"/>
      <c r="C1806" s="32"/>
      <c r="D1806" s="40"/>
      <c r="E1806" s="32"/>
      <c r="F1806" s="34"/>
      <c r="G1806" s="32"/>
      <c r="H1806" s="32"/>
      <c r="K1806" s="41"/>
      <c r="M1806" s="41"/>
      <c r="N1806" s="42"/>
    </row>
    <row r="1807">
      <c r="A1807" s="31"/>
      <c r="B1807" s="31"/>
      <c r="C1807" s="32"/>
      <c r="D1807" s="40"/>
      <c r="E1807" s="32"/>
      <c r="F1807" s="34"/>
      <c r="G1807" s="32"/>
      <c r="H1807" s="32"/>
      <c r="K1807" s="41"/>
      <c r="M1807" s="41"/>
      <c r="N1807" s="42"/>
    </row>
    <row r="1808">
      <c r="A1808" s="31"/>
      <c r="B1808" s="31"/>
      <c r="C1808" s="32"/>
      <c r="D1808" s="40"/>
      <c r="E1808" s="32"/>
      <c r="F1808" s="34"/>
      <c r="G1808" s="32"/>
      <c r="H1808" s="32"/>
      <c r="K1808" s="41"/>
      <c r="M1808" s="41"/>
      <c r="N1808" s="42"/>
    </row>
    <row r="1809">
      <c r="A1809" s="31"/>
      <c r="B1809" s="31"/>
      <c r="C1809" s="32"/>
      <c r="D1809" s="40"/>
      <c r="E1809" s="32"/>
      <c r="F1809" s="34"/>
      <c r="G1809" s="32"/>
      <c r="H1809" s="32"/>
      <c r="K1809" s="41"/>
      <c r="M1809" s="41"/>
      <c r="N1809" s="42"/>
    </row>
    <row r="1810">
      <c r="A1810" s="31"/>
      <c r="B1810" s="31"/>
      <c r="C1810" s="32"/>
      <c r="D1810" s="40"/>
      <c r="E1810" s="32"/>
      <c r="F1810" s="34"/>
      <c r="G1810" s="32"/>
      <c r="H1810" s="32"/>
      <c r="K1810" s="41"/>
      <c r="M1810" s="41"/>
      <c r="N1810" s="42"/>
    </row>
    <row r="1811">
      <c r="A1811" s="31"/>
      <c r="B1811" s="31"/>
      <c r="C1811" s="32"/>
      <c r="D1811" s="40"/>
      <c r="E1811" s="32"/>
      <c r="F1811" s="34"/>
      <c r="G1811" s="32"/>
      <c r="H1811" s="32"/>
      <c r="K1811" s="41"/>
      <c r="M1811" s="41"/>
      <c r="N1811" s="42"/>
    </row>
    <row r="1812">
      <c r="A1812" s="31"/>
      <c r="B1812" s="31"/>
      <c r="C1812" s="32"/>
      <c r="D1812" s="40"/>
      <c r="E1812" s="32"/>
      <c r="F1812" s="34"/>
      <c r="G1812" s="32"/>
      <c r="H1812" s="32"/>
      <c r="K1812" s="41"/>
      <c r="M1812" s="41"/>
      <c r="N1812" s="42"/>
    </row>
    <row r="1813">
      <c r="A1813" s="31"/>
      <c r="B1813" s="31"/>
      <c r="C1813" s="32"/>
      <c r="D1813" s="40"/>
      <c r="E1813" s="32"/>
      <c r="F1813" s="34"/>
      <c r="G1813" s="32"/>
      <c r="H1813" s="32"/>
      <c r="K1813" s="41"/>
      <c r="M1813" s="41"/>
      <c r="N1813" s="42"/>
    </row>
    <row r="1814">
      <c r="A1814" s="31"/>
      <c r="B1814" s="31"/>
      <c r="C1814" s="32"/>
      <c r="D1814" s="40"/>
      <c r="E1814" s="32"/>
      <c r="F1814" s="34"/>
      <c r="G1814" s="32"/>
      <c r="H1814" s="32"/>
      <c r="K1814" s="41"/>
      <c r="M1814" s="41"/>
      <c r="N1814" s="42"/>
    </row>
    <row r="1815">
      <c r="A1815" s="31"/>
      <c r="B1815" s="31"/>
      <c r="C1815" s="32"/>
      <c r="D1815" s="40"/>
      <c r="E1815" s="32"/>
      <c r="F1815" s="34"/>
      <c r="G1815" s="32"/>
      <c r="H1815" s="32"/>
      <c r="K1815" s="41"/>
      <c r="M1815" s="41"/>
      <c r="N1815" s="42"/>
    </row>
    <row r="1816">
      <c r="A1816" s="31"/>
      <c r="B1816" s="31"/>
      <c r="C1816" s="32"/>
      <c r="D1816" s="40"/>
      <c r="E1816" s="32"/>
      <c r="F1816" s="34"/>
      <c r="G1816" s="32"/>
      <c r="H1816" s="32"/>
      <c r="K1816" s="41"/>
      <c r="M1816" s="41"/>
      <c r="N1816" s="42"/>
    </row>
    <row r="1817">
      <c r="A1817" s="31"/>
      <c r="B1817" s="31"/>
      <c r="C1817" s="32"/>
      <c r="D1817" s="40"/>
      <c r="E1817" s="32"/>
      <c r="F1817" s="34"/>
      <c r="G1817" s="32"/>
      <c r="H1817" s="32"/>
      <c r="K1817" s="41"/>
      <c r="M1817" s="41"/>
      <c r="N1817" s="42"/>
    </row>
    <row r="1818">
      <c r="A1818" s="31"/>
      <c r="B1818" s="31"/>
      <c r="C1818" s="32"/>
      <c r="D1818" s="40"/>
      <c r="E1818" s="32"/>
      <c r="F1818" s="34"/>
      <c r="G1818" s="32"/>
      <c r="H1818" s="32"/>
      <c r="K1818" s="41"/>
      <c r="M1818" s="41"/>
      <c r="N1818" s="42"/>
    </row>
    <row r="1819">
      <c r="A1819" s="31"/>
      <c r="B1819" s="31"/>
      <c r="C1819" s="32"/>
      <c r="D1819" s="40"/>
      <c r="E1819" s="32"/>
      <c r="F1819" s="34"/>
      <c r="G1819" s="32"/>
      <c r="H1819" s="32"/>
      <c r="K1819" s="41"/>
      <c r="M1819" s="41"/>
      <c r="N1819" s="42"/>
    </row>
    <row r="1820">
      <c r="A1820" s="31"/>
      <c r="B1820" s="31"/>
      <c r="C1820" s="32"/>
      <c r="D1820" s="40"/>
      <c r="E1820" s="32"/>
      <c r="F1820" s="34"/>
      <c r="G1820" s="32"/>
      <c r="H1820" s="32"/>
      <c r="K1820" s="41"/>
      <c r="M1820" s="41"/>
      <c r="N1820" s="42"/>
    </row>
    <row r="1821">
      <c r="A1821" s="31"/>
      <c r="B1821" s="31"/>
      <c r="C1821" s="32"/>
      <c r="D1821" s="40"/>
      <c r="E1821" s="32"/>
      <c r="F1821" s="34"/>
      <c r="G1821" s="32"/>
      <c r="H1821" s="32"/>
      <c r="K1821" s="41"/>
      <c r="M1821" s="41"/>
      <c r="N1821" s="42"/>
    </row>
    <row r="1822">
      <c r="A1822" s="31"/>
      <c r="B1822" s="31"/>
      <c r="C1822" s="32"/>
      <c r="D1822" s="40"/>
      <c r="E1822" s="32"/>
      <c r="F1822" s="34"/>
      <c r="G1822" s="32"/>
      <c r="H1822" s="32"/>
      <c r="K1822" s="41"/>
      <c r="M1822" s="41"/>
      <c r="N1822" s="42"/>
    </row>
    <row r="1823">
      <c r="A1823" s="31"/>
      <c r="B1823" s="31"/>
      <c r="C1823" s="32"/>
      <c r="D1823" s="40"/>
      <c r="E1823" s="32"/>
      <c r="F1823" s="34"/>
      <c r="G1823" s="32"/>
      <c r="H1823" s="32"/>
      <c r="K1823" s="41"/>
      <c r="M1823" s="41"/>
      <c r="N1823" s="42"/>
    </row>
    <row r="1824">
      <c r="A1824" s="31"/>
      <c r="B1824" s="31"/>
      <c r="C1824" s="32"/>
      <c r="D1824" s="40"/>
      <c r="E1824" s="32"/>
      <c r="F1824" s="34"/>
      <c r="G1824" s="32"/>
      <c r="H1824" s="32"/>
      <c r="K1824" s="41"/>
      <c r="M1824" s="41"/>
      <c r="N1824" s="42"/>
    </row>
    <row r="1825">
      <c r="A1825" s="31"/>
      <c r="B1825" s="31"/>
      <c r="C1825" s="32"/>
      <c r="D1825" s="40"/>
      <c r="E1825" s="32"/>
      <c r="F1825" s="34"/>
      <c r="G1825" s="32"/>
      <c r="H1825" s="32"/>
      <c r="K1825" s="41"/>
      <c r="M1825" s="41"/>
      <c r="N1825" s="42"/>
    </row>
    <row r="1826">
      <c r="A1826" s="31"/>
      <c r="B1826" s="31"/>
      <c r="C1826" s="32"/>
      <c r="D1826" s="40"/>
      <c r="E1826" s="32"/>
      <c r="F1826" s="34"/>
      <c r="G1826" s="32"/>
      <c r="H1826" s="32"/>
      <c r="K1826" s="41"/>
      <c r="M1826" s="41"/>
      <c r="N1826" s="42"/>
    </row>
    <row r="1827">
      <c r="A1827" s="31"/>
      <c r="B1827" s="31"/>
      <c r="C1827" s="32"/>
      <c r="D1827" s="40"/>
      <c r="E1827" s="32"/>
      <c r="F1827" s="34"/>
      <c r="G1827" s="32"/>
      <c r="H1827" s="32"/>
      <c r="K1827" s="41"/>
      <c r="M1827" s="41"/>
      <c r="N1827" s="42"/>
    </row>
    <row r="1828">
      <c r="A1828" s="31"/>
      <c r="B1828" s="31"/>
      <c r="C1828" s="32"/>
      <c r="D1828" s="40"/>
      <c r="E1828" s="32"/>
      <c r="F1828" s="34"/>
      <c r="G1828" s="32"/>
      <c r="H1828" s="32"/>
      <c r="K1828" s="41"/>
      <c r="M1828" s="41"/>
      <c r="N1828" s="42"/>
    </row>
    <row r="1829">
      <c r="A1829" s="31"/>
      <c r="B1829" s="31"/>
      <c r="C1829" s="32"/>
      <c r="D1829" s="40"/>
      <c r="E1829" s="32"/>
      <c r="F1829" s="34"/>
      <c r="G1829" s="32"/>
      <c r="H1829" s="32"/>
      <c r="K1829" s="41"/>
      <c r="M1829" s="41"/>
      <c r="N1829" s="42"/>
    </row>
    <row r="1830">
      <c r="A1830" s="31"/>
      <c r="B1830" s="31"/>
      <c r="C1830" s="32"/>
      <c r="D1830" s="40"/>
      <c r="E1830" s="32"/>
      <c r="F1830" s="34"/>
      <c r="G1830" s="32"/>
      <c r="H1830" s="32"/>
      <c r="K1830" s="41"/>
      <c r="M1830" s="41"/>
      <c r="N1830" s="42"/>
    </row>
    <row r="1831">
      <c r="A1831" s="31"/>
      <c r="B1831" s="31"/>
      <c r="C1831" s="32"/>
      <c r="D1831" s="40"/>
      <c r="E1831" s="32"/>
      <c r="F1831" s="34"/>
      <c r="G1831" s="32"/>
      <c r="H1831" s="32"/>
      <c r="K1831" s="41"/>
      <c r="M1831" s="41"/>
      <c r="N1831" s="42"/>
    </row>
    <row r="1832">
      <c r="A1832" s="31"/>
      <c r="B1832" s="31"/>
      <c r="C1832" s="32"/>
      <c r="D1832" s="40"/>
      <c r="E1832" s="32"/>
      <c r="F1832" s="34"/>
      <c r="G1832" s="32"/>
      <c r="H1832" s="32"/>
      <c r="K1832" s="41"/>
      <c r="M1832" s="41"/>
      <c r="N1832" s="42"/>
    </row>
    <row r="1833">
      <c r="A1833" s="31"/>
      <c r="B1833" s="31"/>
      <c r="C1833" s="32"/>
      <c r="D1833" s="40"/>
      <c r="E1833" s="32"/>
      <c r="F1833" s="34"/>
      <c r="G1833" s="32"/>
      <c r="H1833" s="32"/>
      <c r="K1833" s="41"/>
      <c r="M1833" s="41"/>
      <c r="N1833" s="42"/>
    </row>
    <row r="1834">
      <c r="A1834" s="31"/>
      <c r="B1834" s="31"/>
      <c r="C1834" s="32"/>
      <c r="D1834" s="40"/>
      <c r="E1834" s="32"/>
      <c r="F1834" s="34"/>
      <c r="G1834" s="32"/>
      <c r="H1834" s="32"/>
      <c r="K1834" s="41"/>
      <c r="M1834" s="41"/>
      <c r="N1834" s="42"/>
    </row>
    <row r="1835">
      <c r="A1835" s="31"/>
      <c r="B1835" s="31"/>
      <c r="C1835" s="32"/>
      <c r="D1835" s="40"/>
      <c r="E1835" s="32"/>
      <c r="F1835" s="34"/>
      <c r="G1835" s="32"/>
      <c r="H1835" s="32"/>
      <c r="K1835" s="41"/>
      <c r="M1835" s="41"/>
      <c r="N1835" s="42"/>
    </row>
    <row r="1836">
      <c r="A1836" s="31"/>
      <c r="B1836" s="31"/>
      <c r="C1836" s="32"/>
      <c r="D1836" s="40"/>
      <c r="E1836" s="32"/>
      <c r="F1836" s="34"/>
      <c r="G1836" s="32"/>
      <c r="H1836" s="32"/>
      <c r="K1836" s="41"/>
      <c r="M1836" s="41"/>
      <c r="N1836" s="42"/>
    </row>
    <row r="1837">
      <c r="A1837" s="31"/>
      <c r="B1837" s="31"/>
      <c r="C1837" s="32"/>
      <c r="D1837" s="40"/>
      <c r="E1837" s="32"/>
      <c r="F1837" s="34"/>
      <c r="G1837" s="32"/>
      <c r="H1837" s="32"/>
      <c r="K1837" s="41"/>
      <c r="M1837" s="41"/>
      <c r="N1837" s="42"/>
    </row>
    <row r="1838">
      <c r="A1838" s="31"/>
      <c r="B1838" s="31"/>
      <c r="C1838" s="32"/>
      <c r="D1838" s="40"/>
      <c r="E1838" s="32"/>
      <c r="F1838" s="34"/>
      <c r="G1838" s="32"/>
      <c r="H1838" s="32"/>
      <c r="K1838" s="41"/>
      <c r="M1838" s="41"/>
      <c r="N1838" s="42"/>
    </row>
    <row r="1839">
      <c r="A1839" s="31"/>
      <c r="B1839" s="31"/>
      <c r="C1839" s="32"/>
      <c r="D1839" s="40"/>
      <c r="E1839" s="32"/>
      <c r="F1839" s="34"/>
      <c r="G1839" s="32"/>
      <c r="H1839" s="32"/>
      <c r="K1839" s="41"/>
      <c r="M1839" s="41"/>
      <c r="N1839" s="42"/>
    </row>
    <row r="1840">
      <c r="A1840" s="31"/>
      <c r="B1840" s="31"/>
      <c r="C1840" s="32"/>
      <c r="D1840" s="40"/>
      <c r="E1840" s="32"/>
      <c r="F1840" s="34"/>
      <c r="G1840" s="32"/>
      <c r="H1840" s="32"/>
      <c r="K1840" s="41"/>
      <c r="M1840" s="41"/>
      <c r="N1840" s="42"/>
    </row>
    <row r="1841">
      <c r="A1841" s="31"/>
      <c r="B1841" s="31"/>
      <c r="C1841" s="32"/>
      <c r="D1841" s="40"/>
      <c r="E1841" s="32"/>
      <c r="F1841" s="34"/>
      <c r="G1841" s="32"/>
      <c r="H1841" s="32"/>
      <c r="K1841" s="41"/>
      <c r="M1841" s="41"/>
      <c r="N1841" s="42"/>
    </row>
    <row r="1842">
      <c r="A1842" s="31"/>
      <c r="B1842" s="31"/>
      <c r="C1842" s="32"/>
      <c r="D1842" s="40"/>
      <c r="E1842" s="32"/>
      <c r="F1842" s="34"/>
      <c r="G1842" s="32"/>
      <c r="H1842" s="32"/>
      <c r="K1842" s="41"/>
      <c r="M1842" s="41"/>
      <c r="N1842" s="42"/>
    </row>
    <row r="1843">
      <c r="A1843" s="31"/>
      <c r="B1843" s="31"/>
      <c r="C1843" s="32"/>
      <c r="D1843" s="40"/>
      <c r="E1843" s="32"/>
      <c r="F1843" s="34"/>
      <c r="G1843" s="32"/>
      <c r="H1843" s="32"/>
      <c r="K1843" s="41"/>
      <c r="M1843" s="41"/>
      <c r="N1843" s="42"/>
    </row>
    <row r="1844">
      <c r="A1844" s="31"/>
      <c r="B1844" s="31"/>
      <c r="C1844" s="32"/>
      <c r="D1844" s="40"/>
      <c r="E1844" s="32"/>
      <c r="F1844" s="34"/>
      <c r="G1844" s="32"/>
      <c r="H1844" s="32"/>
      <c r="K1844" s="41"/>
      <c r="M1844" s="41"/>
      <c r="N1844" s="42"/>
    </row>
    <row r="1845">
      <c r="A1845" s="31"/>
      <c r="B1845" s="31"/>
      <c r="C1845" s="32"/>
      <c r="D1845" s="40"/>
      <c r="E1845" s="32"/>
      <c r="F1845" s="34"/>
      <c r="G1845" s="32"/>
      <c r="H1845" s="32"/>
      <c r="K1845" s="41"/>
      <c r="M1845" s="41"/>
      <c r="N1845" s="42"/>
    </row>
    <row r="1846">
      <c r="A1846" s="31"/>
      <c r="B1846" s="31"/>
      <c r="C1846" s="32"/>
      <c r="D1846" s="40"/>
      <c r="E1846" s="32"/>
      <c r="F1846" s="34"/>
      <c r="G1846" s="32"/>
      <c r="H1846" s="32"/>
      <c r="K1846" s="41"/>
      <c r="M1846" s="41"/>
      <c r="N1846" s="42"/>
    </row>
    <row r="1847">
      <c r="A1847" s="31"/>
      <c r="B1847" s="31"/>
      <c r="C1847" s="32"/>
      <c r="D1847" s="40"/>
      <c r="E1847" s="32"/>
      <c r="F1847" s="34"/>
      <c r="G1847" s="32"/>
      <c r="H1847" s="32"/>
      <c r="K1847" s="41"/>
      <c r="M1847" s="41"/>
      <c r="N1847" s="42"/>
    </row>
    <row r="1848">
      <c r="A1848" s="31"/>
      <c r="B1848" s="31"/>
      <c r="C1848" s="32"/>
      <c r="D1848" s="40"/>
      <c r="E1848" s="32"/>
      <c r="F1848" s="34"/>
      <c r="G1848" s="32"/>
      <c r="H1848" s="32"/>
      <c r="K1848" s="41"/>
      <c r="M1848" s="41"/>
      <c r="N1848" s="42"/>
    </row>
    <row r="1849">
      <c r="A1849" s="31"/>
      <c r="B1849" s="31"/>
      <c r="C1849" s="32"/>
      <c r="D1849" s="40"/>
      <c r="E1849" s="32"/>
      <c r="F1849" s="34"/>
      <c r="G1849" s="32"/>
      <c r="H1849" s="32"/>
      <c r="K1849" s="41"/>
      <c r="M1849" s="41"/>
      <c r="N1849" s="42"/>
    </row>
    <row r="1850">
      <c r="A1850" s="31"/>
      <c r="B1850" s="31"/>
      <c r="C1850" s="32"/>
      <c r="D1850" s="40"/>
      <c r="E1850" s="32"/>
      <c r="F1850" s="34"/>
      <c r="G1850" s="32"/>
      <c r="H1850" s="32"/>
      <c r="K1850" s="41"/>
      <c r="M1850" s="41"/>
      <c r="N1850" s="42"/>
    </row>
    <row r="1851">
      <c r="A1851" s="31"/>
      <c r="B1851" s="31"/>
      <c r="C1851" s="32"/>
      <c r="D1851" s="40"/>
      <c r="E1851" s="32"/>
      <c r="F1851" s="34"/>
      <c r="G1851" s="32"/>
      <c r="H1851" s="32"/>
      <c r="K1851" s="41"/>
      <c r="M1851" s="41"/>
      <c r="N1851" s="42"/>
    </row>
    <row r="1852">
      <c r="A1852" s="31"/>
      <c r="B1852" s="31"/>
      <c r="C1852" s="32"/>
      <c r="D1852" s="40"/>
      <c r="E1852" s="32"/>
      <c r="F1852" s="34"/>
      <c r="G1852" s="32"/>
      <c r="H1852" s="32"/>
      <c r="K1852" s="41"/>
      <c r="M1852" s="41"/>
      <c r="N1852" s="42"/>
    </row>
    <row r="1853">
      <c r="A1853" s="31"/>
      <c r="B1853" s="31"/>
      <c r="C1853" s="32"/>
      <c r="D1853" s="40"/>
      <c r="E1853" s="32"/>
      <c r="F1853" s="34"/>
      <c r="G1853" s="32"/>
      <c r="H1853" s="32"/>
      <c r="K1853" s="41"/>
      <c r="M1853" s="41"/>
      <c r="N1853" s="42"/>
    </row>
    <row r="1854">
      <c r="A1854" s="31"/>
      <c r="B1854" s="31"/>
      <c r="C1854" s="32"/>
      <c r="D1854" s="40"/>
      <c r="E1854" s="32"/>
      <c r="F1854" s="34"/>
      <c r="G1854" s="32"/>
      <c r="H1854" s="32"/>
      <c r="K1854" s="41"/>
      <c r="M1854" s="41"/>
      <c r="N1854" s="42"/>
    </row>
    <row r="1855">
      <c r="A1855" s="31"/>
      <c r="B1855" s="31"/>
      <c r="C1855" s="32"/>
      <c r="D1855" s="40"/>
      <c r="E1855" s="32"/>
      <c r="F1855" s="34"/>
      <c r="G1855" s="32"/>
      <c r="H1855" s="32"/>
      <c r="K1855" s="41"/>
      <c r="M1855" s="41"/>
      <c r="N1855" s="42"/>
    </row>
    <row r="1856">
      <c r="A1856" s="31"/>
      <c r="B1856" s="31"/>
      <c r="C1856" s="32"/>
      <c r="D1856" s="40"/>
      <c r="E1856" s="32"/>
      <c r="F1856" s="34"/>
      <c r="G1856" s="32"/>
      <c r="H1856" s="32"/>
      <c r="K1856" s="41"/>
      <c r="M1856" s="41"/>
      <c r="N1856" s="42"/>
    </row>
    <row r="1857">
      <c r="A1857" s="31"/>
      <c r="B1857" s="31"/>
      <c r="C1857" s="32"/>
      <c r="D1857" s="40"/>
      <c r="E1857" s="32"/>
      <c r="F1857" s="34"/>
      <c r="G1857" s="32"/>
      <c r="H1857" s="32"/>
      <c r="K1857" s="41"/>
      <c r="M1857" s="41"/>
      <c r="N1857" s="42"/>
    </row>
    <row r="1858">
      <c r="A1858" s="31"/>
      <c r="B1858" s="31"/>
      <c r="C1858" s="32"/>
      <c r="D1858" s="40"/>
      <c r="E1858" s="32"/>
      <c r="F1858" s="34"/>
      <c r="G1858" s="32"/>
      <c r="H1858" s="32"/>
      <c r="K1858" s="41"/>
      <c r="M1858" s="41"/>
      <c r="N1858" s="42"/>
    </row>
    <row r="1859">
      <c r="A1859" s="31"/>
      <c r="B1859" s="31"/>
      <c r="C1859" s="32"/>
      <c r="D1859" s="40"/>
      <c r="E1859" s="32"/>
      <c r="F1859" s="34"/>
      <c r="G1859" s="32"/>
      <c r="H1859" s="32"/>
      <c r="K1859" s="41"/>
      <c r="M1859" s="41"/>
      <c r="N1859" s="42"/>
    </row>
    <row r="1860">
      <c r="A1860" s="31"/>
      <c r="B1860" s="31"/>
      <c r="C1860" s="32"/>
      <c r="D1860" s="40"/>
      <c r="E1860" s="32"/>
      <c r="F1860" s="34"/>
      <c r="G1860" s="32"/>
      <c r="H1860" s="32"/>
      <c r="K1860" s="41"/>
      <c r="M1860" s="41"/>
      <c r="N1860" s="42"/>
    </row>
    <row r="1861">
      <c r="A1861" s="31"/>
      <c r="B1861" s="31"/>
      <c r="C1861" s="32"/>
      <c r="D1861" s="40"/>
      <c r="E1861" s="32"/>
      <c r="F1861" s="34"/>
      <c r="G1861" s="32"/>
      <c r="H1861" s="32"/>
      <c r="K1861" s="41"/>
      <c r="M1861" s="41"/>
      <c r="N1861" s="42"/>
    </row>
    <row r="1862">
      <c r="A1862" s="31"/>
      <c r="B1862" s="31"/>
      <c r="C1862" s="32"/>
      <c r="D1862" s="40"/>
      <c r="E1862" s="32"/>
      <c r="F1862" s="34"/>
      <c r="G1862" s="32"/>
      <c r="H1862" s="32"/>
      <c r="K1862" s="41"/>
      <c r="M1862" s="41"/>
      <c r="N1862" s="42"/>
    </row>
    <row r="1863">
      <c r="A1863" s="31"/>
      <c r="B1863" s="31"/>
      <c r="C1863" s="32"/>
      <c r="D1863" s="40"/>
      <c r="E1863" s="32"/>
      <c r="F1863" s="34"/>
      <c r="G1863" s="32"/>
      <c r="H1863" s="32"/>
      <c r="K1863" s="41"/>
      <c r="M1863" s="41"/>
      <c r="N1863" s="42"/>
    </row>
    <row r="1864">
      <c r="A1864" s="31"/>
      <c r="B1864" s="31"/>
      <c r="C1864" s="32"/>
      <c r="D1864" s="40"/>
      <c r="E1864" s="32"/>
      <c r="F1864" s="34"/>
      <c r="G1864" s="32"/>
      <c r="H1864" s="32"/>
      <c r="K1864" s="41"/>
      <c r="M1864" s="41"/>
      <c r="N1864" s="42"/>
    </row>
    <row r="1865">
      <c r="A1865" s="31"/>
      <c r="B1865" s="31"/>
      <c r="C1865" s="32"/>
      <c r="D1865" s="40"/>
      <c r="E1865" s="32"/>
      <c r="F1865" s="34"/>
      <c r="G1865" s="32"/>
      <c r="H1865" s="32"/>
      <c r="K1865" s="41"/>
      <c r="M1865" s="41"/>
      <c r="N1865" s="42"/>
    </row>
    <row r="1866">
      <c r="A1866" s="31"/>
      <c r="B1866" s="31"/>
      <c r="C1866" s="32"/>
      <c r="D1866" s="40"/>
      <c r="E1866" s="32"/>
      <c r="F1866" s="34"/>
      <c r="G1866" s="32"/>
      <c r="H1866" s="32"/>
      <c r="K1866" s="41"/>
      <c r="M1866" s="41"/>
      <c r="N1866" s="42"/>
    </row>
    <row r="1867">
      <c r="A1867" s="31"/>
      <c r="B1867" s="31"/>
      <c r="C1867" s="32"/>
      <c r="D1867" s="40"/>
      <c r="E1867" s="32"/>
      <c r="F1867" s="34"/>
      <c r="G1867" s="32"/>
      <c r="H1867" s="32"/>
      <c r="K1867" s="41"/>
      <c r="M1867" s="41"/>
      <c r="N1867" s="42"/>
    </row>
    <row r="1868">
      <c r="A1868" s="31"/>
      <c r="B1868" s="31"/>
      <c r="C1868" s="32"/>
      <c r="D1868" s="40"/>
      <c r="E1868" s="32"/>
      <c r="F1868" s="34"/>
      <c r="G1868" s="32"/>
      <c r="H1868" s="32"/>
      <c r="K1868" s="41"/>
      <c r="M1868" s="41"/>
      <c r="N1868" s="42"/>
    </row>
    <row r="1869">
      <c r="A1869" s="31"/>
      <c r="B1869" s="31"/>
      <c r="C1869" s="32"/>
      <c r="D1869" s="40"/>
      <c r="E1869" s="32"/>
      <c r="F1869" s="34"/>
      <c r="G1869" s="32"/>
      <c r="H1869" s="32"/>
      <c r="K1869" s="41"/>
      <c r="M1869" s="41"/>
      <c r="N1869" s="42"/>
    </row>
    <row r="1870">
      <c r="A1870" s="31"/>
      <c r="B1870" s="31"/>
      <c r="C1870" s="32"/>
      <c r="D1870" s="40"/>
      <c r="E1870" s="32"/>
      <c r="F1870" s="34"/>
      <c r="G1870" s="32"/>
      <c r="H1870" s="32"/>
      <c r="K1870" s="41"/>
      <c r="M1870" s="41"/>
      <c r="N1870" s="42"/>
    </row>
    <row r="1871">
      <c r="A1871" s="31"/>
      <c r="B1871" s="31"/>
      <c r="C1871" s="32"/>
      <c r="D1871" s="40"/>
      <c r="E1871" s="32"/>
      <c r="F1871" s="34"/>
      <c r="G1871" s="32"/>
      <c r="H1871" s="32"/>
      <c r="K1871" s="41"/>
      <c r="M1871" s="41"/>
      <c r="N1871" s="42"/>
    </row>
    <row r="1872">
      <c r="A1872" s="31"/>
      <c r="B1872" s="31"/>
      <c r="C1872" s="32"/>
      <c r="D1872" s="40"/>
      <c r="E1872" s="32"/>
      <c r="F1872" s="34"/>
      <c r="G1872" s="32"/>
      <c r="H1872" s="32"/>
      <c r="K1872" s="41"/>
      <c r="M1872" s="41"/>
      <c r="N1872" s="42"/>
    </row>
    <row r="1873">
      <c r="A1873" s="31"/>
      <c r="B1873" s="31"/>
      <c r="C1873" s="32"/>
      <c r="D1873" s="40"/>
      <c r="E1873" s="32"/>
      <c r="F1873" s="34"/>
      <c r="G1873" s="32"/>
      <c r="H1873" s="32"/>
      <c r="K1873" s="41"/>
      <c r="M1873" s="41"/>
      <c r="N1873" s="42"/>
    </row>
    <row r="1874">
      <c r="A1874" s="31"/>
      <c r="B1874" s="31"/>
      <c r="C1874" s="32"/>
      <c r="D1874" s="40"/>
      <c r="E1874" s="32"/>
      <c r="F1874" s="34"/>
      <c r="G1874" s="32"/>
      <c r="H1874" s="32"/>
      <c r="K1874" s="41"/>
      <c r="M1874" s="41"/>
      <c r="N1874" s="42"/>
    </row>
    <row r="1875">
      <c r="A1875" s="31"/>
      <c r="B1875" s="31"/>
      <c r="C1875" s="32"/>
      <c r="D1875" s="40"/>
      <c r="E1875" s="32"/>
      <c r="F1875" s="34"/>
      <c r="G1875" s="32"/>
      <c r="H1875" s="32"/>
      <c r="K1875" s="41"/>
      <c r="M1875" s="41"/>
      <c r="N1875" s="42"/>
    </row>
    <row r="1876">
      <c r="A1876" s="31"/>
      <c r="B1876" s="31"/>
      <c r="C1876" s="32"/>
      <c r="D1876" s="40"/>
      <c r="E1876" s="32"/>
      <c r="F1876" s="34"/>
      <c r="G1876" s="32"/>
      <c r="H1876" s="32"/>
      <c r="K1876" s="41"/>
      <c r="M1876" s="41"/>
      <c r="N1876" s="42"/>
    </row>
    <row r="1877">
      <c r="A1877" s="31"/>
      <c r="B1877" s="31"/>
      <c r="C1877" s="32"/>
      <c r="D1877" s="40"/>
      <c r="E1877" s="32"/>
      <c r="F1877" s="34"/>
      <c r="G1877" s="32"/>
      <c r="H1877" s="32"/>
      <c r="K1877" s="41"/>
      <c r="M1877" s="41"/>
      <c r="N1877" s="42"/>
    </row>
    <row r="1878">
      <c r="A1878" s="31"/>
      <c r="B1878" s="31"/>
      <c r="C1878" s="32"/>
      <c r="D1878" s="40"/>
      <c r="E1878" s="32"/>
      <c r="F1878" s="34"/>
      <c r="G1878" s="32"/>
      <c r="H1878" s="32"/>
      <c r="K1878" s="41"/>
      <c r="M1878" s="41"/>
      <c r="N1878" s="42"/>
    </row>
    <row r="1879">
      <c r="A1879" s="31"/>
      <c r="B1879" s="31"/>
      <c r="C1879" s="32"/>
      <c r="D1879" s="40"/>
      <c r="E1879" s="32"/>
      <c r="F1879" s="34"/>
      <c r="G1879" s="32"/>
      <c r="H1879" s="32"/>
      <c r="K1879" s="41"/>
      <c r="M1879" s="41"/>
      <c r="N1879" s="42"/>
    </row>
    <row r="1880">
      <c r="A1880" s="31"/>
      <c r="B1880" s="31"/>
      <c r="C1880" s="32"/>
      <c r="D1880" s="40"/>
      <c r="E1880" s="32"/>
      <c r="F1880" s="34"/>
      <c r="G1880" s="32"/>
      <c r="H1880" s="32"/>
      <c r="K1880" s="41"/>
      <c r="M1880" s="41"/>
      <c r="N1880" s="42"/>
    </row>
    <row r="1881">
      <c r="A1881" s="31"/>
      <c r="B1881" s="31"/>
      <c r="C1881" s="32"/>
      <c r="D1881" s="40"/>
      <c r="E1881" s="32"/>
      <c r="F1881" s="34"/>
      <c r="G1881" s="32"/>
      <c r="H1881" s="32"/>
      <c r="K1881" s="41"/>
      <c r="M1881" s="41"/>
      <c r="N1881" s="42"/>
    </row>
    <row r="1882">
      <c r="A1882" s="31"/>
      <c r="B1882" s="31"/>
      <c r="C1882" s="32"/>
      <c r="D1882" s="40"/>
      <c r="E1882" s="32"/>
      <c r="F1882" s="34"/>
      <c r="G1882" s="32"/>
      <c r="H1882" s="32"/>
      <c r="K1882" s="41"/>
      <c r="M1882" s="41"/>
      <c r="N1882" s="42"/>
    </row>
    <row r="1883">
      <c r="A1883" s="31"/>
      <c r="B1883" s="31"/>
      <c r="C1883" s="32"/>
      <c r="D1883" s="40"/>
      <c r="E1883" s="32"/>
      <c r="F1883" s="34"/>
      <c r="G1883" s="32"/>
      <c r="H1883" s="32"/>
      <c r="K1883" s="41"/>
      <c r="M1883" s="41"/>
      <c r="N1883" s="42"/>
    </row>
    <row r="1884">
      <c r="A1884" s="31"/>
      <c r="B1884" s="31"/>
      <c r="C1884" s="32"/>
      <c r="D1884" s="40"/>
      <c r="E1884" s="32"/>
      <c r="F1884" s="34"/>
      <c r="G1884" s="32"/>
      <c r="H1884" s="32"/>
      <c r="K1884" s="41"/>
      <c r="M1884" s="41"/>
      <c r="N1884" s="42"/>
    </row>
    <row r="1885">
      <c r="A1885" s="31"/>
      <c r="B1885" s="31"/>
      <c r="C1885" s="32"/>
      <c r="D1885" s="40"/>
      <c r="E1885" s="32"/>
      <c r="F1885" s="34"/>
      <c r="G1885" s="32"/>
      <c r="H1885" s="32"/>
      <c r="K1885" s="41"/>
      <c r="M1885" s="41"/>
      <c r="N1885" s="42"/>
    </row>
    <row r="1886">
      <c r="A1886" s="31"/>
      <c r="B1886" s="31"/>
      <c r="C1886" s="32"/>
      <c r="D1886" s="40"/>
      <c r="E1886" s="32"/>
      <c r="F1886" s="34"/>
      <c r="G1886" s="32"/>
      <c r="H1886" s="32"/>
      <c r="K1886" s="41"/>
      <c r="M1886" s="41"/>
      <c r="N1886" s="42"/>
    </row>
    <row r="1887">
      <c r="A1887" s="31"/>
      <c r="B1887" s="31"/>
      <c r="C1887" s="32"/>
      <c r="D1887" s="40"/>
      <c r="E1887" s="32"/>
      <c r="F1887" s="34"/>
      <c r="G1887" s="32"/>
      <c r="H1887" s="32"/>
      <c r="K1887" s="41"/>
      <c r="M1887" s="41"/>
      <c r="N1887" s="42"/>
    </row>
    <row r="1888">
      <c r="A1888" s="31"/>
      <c r="B1888" s="31"/>
      <c r="C1888" s="32"/>
      <c r="D1888" s="40"/>
      <c r="E1888" s="32"/>
      <c r="F1888" s="34"/>
      <c r="G1888" s="32"/>
      <c r="H1888" s="32"/>
      <c r="K1888" s="41"/>
      <c r="M1888" s="41"/>
      <c r="N1888" s="42"/>
    </row>
    <row r="1889">
      <c r="A1889" s="31"/>
      <c r="B1889" s="31"/>
      <c r="C1889" s="32"/>
      <c r="D1889" s="40"/>
      <c r="E1889" s="32"/>
      <c r="F1889" s="34"/>
      <c r="G1889" s="32"/>
      <c r="H1889" s="32"/>
      <c r="K1889" s="41"/>
      <c r="M1889" s="41"/>
      <c r="N1889" s="42"/>
    </row>
    <row r="1890">
      <c r="A1890" s="31"/>
      <c r="B1890" s="31"/>
      <c r="C1890" s="32"/>
      <c r="D1890" s="40"/>
      <c r="E1890" s="32"/>
      <c r="F1890" s="34"/>
      <c r="G1890" s="32"/>
      <c r="H1890" s="32"/>
      <c r="K1890" s="41"/>
      <c r="M1890" s="41"/>
      <c r="N1890" s="42"/>
    </row>
    <row r="1891">
      <c r="A1891" s="31"/>
      <c r="B1891" s="31"/>
      <c r="C1891" s="32"/>
      <c r="D1891" s="40"/>
      <c r="E1891" s="32"/>
      <c r="F1891" s="34"/>
      <c r="G1891" s="32"/>
      <c r="H1891" s="32"/>
      <c r="K1891" s="41"/>
      <c r="M1891" s="41"/>
      <c r="N1891" s="42"/>
    </row>
    <row r="1892">
      <c r="A1892" s="31"/>
      <c r="B1892" s="31"/>
      <c r="C1892" s="32"/>
      <c r="D1892" s="40"/>
      <c r="E1892" s="32"/>
      <c r="F1892" s="34"/>
      <c r="G1892" s="32"/>
      <c r="H1892" s="32"/>
      <c r="K1892" s="41"/>
      <c r="M1892" s="41"/>
      <c r="N1892" s="42"/>
    </row>
    <row r="1893">
      <c r="A1893" s="31"/>
      <c r="B1893" s="31"/>
      <c r="C1893" s="32"/>
      <c r="D1893" s="40"/>
      <c r="E1893" s="32"/>
      <c r="F1893" s="34"/>
      <c r="G1893" s="32"/>
      <c r="H1893" s="32"/>
      <c r="K1893" s="41"/>
      <c r="M1893" s="41"/>
      <c r="N1893" s="42"/>
    </row>
    <row r="1894">
      <c r="A1894" s="31"/>
      <c r="B1894" s="31"/>
      <c r="C1894" s="32"/>
      <c r="D1894" s="40"/>
      <c r="E1894" s="32"/>
      <c r="F1894" s="34"/>
      <c r="G1894" s="32"/>
      <c r="H1894" s="32"/>
      <c r="K1894" s="41"/>
      <c r="M1894" s="41"/>
      <c r="N1894" s="42"/>
    </row>
    <row r="1895">
      <c r="A1895" s="31"/>
      <c r="B1895" s="31"/>
      <c r="C1895" s="32"/>
      <c r="D1895" s="40"/>
      <c r="E1895" s="32"/>
      <c r="F1895" s="34"/>
      <c r="G1895" s="32"/>
      <c r="H1895" s="32"/>
      <c r="K1895" s="41"/>
      <c r="M1895" s="41"/>
      <c r="N1895" s="42"/>
    </row>
    <row r="1896">
      <c r="A1896" s="31"/>
      <c r="B1896" s="31"/>
      <c r="C1896" s="32"/>
      <c r="D1896" s="40"/>
      <c r="E1896" s="32"/>
      <c r="F1896" s="34"/>
      <c r="G1896" s="32"/>
      <c r="H1896" s="32"/>
      <c r="K1896" s="41"/>
      <c r="M1896" s="41"/>
      <c r="N1896" s="42"/>
    </row>
    <row r="1897">
      <c r="A1897" s="31"/>
      <c r="B1897" s="31"/>
      <c r="C1897" s="32"/>
      <c r="D1897" s="40"/>
      <c r="E1897" s="32"/>
      <c r="F1897" s="34"/>
      <c r="G1897" s="32"/>
      <c r="H1897" s="32"/>
      <c r="K1897" s="41"/>
      <c r="M1897" s="41"/>
      <c r="N1897" s="42"/>
    </row>
    <row r="1898">
      <c r="A1898" s="31"/>
      <c r="B1898" s="31"/>
      <c r="C1898" s="32"/>
      <c r="D1898" s="40"/>
      <c r="E1898" s="32"/>
      <c r="F1898" s="34"/>
      <c r="G1898" s="32"/>
      <c r="H1898" s="32"/>
      <c r="K1898" s="41"/>
      <c r="M1898" s="41"/>
      <c r="N1898" s="42"/>
    </row>
    <row r="1899">
      <c r="A1899" s="31"/>
      <c r="B1899" s="31"/>
      <c r="C1899" s="32"/>
      <c r="D1899" s="40"/>
      <c r="E1899" s="32"/>
      <c r="F1899" s="34"/>
      <c r="G1899" s="32"/>
      <c r="H1899" s="32"/>
      <c r="K1899" s="41"/>
      <c r="M1899" s="41"/>
      <c r="N1899" s="42"/>
    </row>
    <row r="1900">
      <c r="A1900" s="31"/>
      <c r="B1900" s="31"/>
      <c r="C1900" s="32"/>
      <c r="D1900" s="40"/>
      <c r="E1900" s="32"/>
      <c r="F1900" s="34"/>
      <c r="G1900" s="32"/>
      <c r="H1900" s="32"/>
      <c r="K1900" s="41"/>
      <c r="M1900" s="41"/>
      <c r="N1900" s="42"/>
    </row>
    <row r="1901">
      <c r="A1901" s="31"/>
      <c r="B1901" s="31"/>
      <c r="C1901" s="32"/>
      <c r="D1901" s="40"/>
      <c r="E1901" s="32"/>
      <c r="F1901" s="34"/>
      <c r="G1901" s="32"/>
      <c r="H1901" s="32"/>
      <c r="K1901" s="41"/>
      <c r="M1901" s="41"/>
      <c r="N1901" s="42"/>
    </row>
    <row r="1902">
      <c r="A1902" s="31"/>
      <c r="B1902" s="31"/>
      <c r="C1902" s="32"/>
      <c r="D1902" s="40"/>
      <c r="E1902" s="32"/>
      <c r="F1902" s="34"/>
      <c r="G1902" s="32"/>
      <c r="H1902" s="32"/>
      <c r="K1902" s="41"/>
      <c r="M1902" s="41"/>
      <c r="N1902" s="42"/>
    </row>
    <row r="1903">
      <c r="A1903" s="31"/>
      <c r="B1903" s="31"/>
      <c r="C1903" s="32"/>
      <c r="D1903" s="40"/>
      <c r="E1903" s="32"/>
      <c r="F1903" s="34"/>
      <c r="G1903" s="32"/>
      <c r="H1903" s="32"/>
      <c r="K1903" s="41"/>
      <c r="M1903" s="41"/>
      <c r="N1903" s="42"/>
    </row>
    <row r="1904">
      <c r="A1904" s="31"/>
      <c r="B1904" s="31"/>
      <c r="C1904" s="32"/>
      <c r="D1904" s="40"/>
      <c r="E1904" s="32"/>
      <c r="F1904" s="34"/>
      <c r="G1904" s="32"/>
      <c r="H1904" s="32"/>
      <c r="K1904" s="41"/>
      <c r="M1904" s="41"/>
      <c r="N1904" s="42"/>
    </row>
    <row r="1905">
      <c r="A1905" s="31"/>
      <c r="B1905" s="31"/>
      <c r="C1905" s="32"/>
      <c r="D1905" s="40"/>
      <c r="E1905" s="32"/>
      <c r="F1905" s="34"/>
      <c r="G1905" s="32"/>
      <c r="H1905" s="32"/>
      <c r="K1905" s="41"/>
      <c r="M1905" s="41"/>
      <c r="N1905" s="42"/>
    </row>
    <row r="1906">
      <c r="A1906" s="31"/>
      <c r="B1906" s="31"/>
      <c r="C1906" s="32"/>
      <c r="D1906" s="40"/>
      <c r="E1906" s="32"/>
      <c r="F1906" s="34"/>
      <c r="G1906" s="32"/>
      <c r="H1906" s="32"/>
      <c r="K1906" s="41"/>
      <c r="M1906" s="41"/>
      <c r="N1906" s="42"/>
    </row>
    <row r="1907">
      <c r="A1907" s="31"/>
      <c r="B1907" s="31"/>
      <c r="C1907" s="32"/>
      <c r="D1907" s="40"/>
      <c r="E1907" s="32"/>
      <c r="F1907" s="34"/>
      <c r="G1907" s="32"/>
      <c r="H1907" s="32"/>
      <c r="K1907" s="41"/>
      <c r="M1907" s="41"/>
      <c r="N1907" s="42"/>
    </row>
    <row r="1908">
      <c r="A1908" s="31"/>
      <c r="B1908" s="31"/>
      <c r="C1908" s="32"/>
      <c r="D1908" s="40"/>
      <c r="E1908" s="32"/>
      <c r="F1908" s="34"/>
      <c r="G1908" s="32"/>
      <c r="H1908" s="32"/>
      <c r="K1908" s="41"/>
      <c r="M1908" s="41"/>
      <c r="N1908" s="42"/>
    </row>
    <row r="1909">
      <c r="A1909" s="31"/>
      <c r="B1909" s="31"/>
      <c r="C1909" s="32"/>
      <c r="D1909" s="40"/>
      <c r="E1909" s="32"/>
      <c r="F1909" s="34"/>
      <c r="G1909" s="32"/>
      <c r="H1909" s="32"/>
      <c r="K1909" s="41"/>
      <c r="M1909" s="41"/>
      <c r="N1909" s="42"/>
    </row>
    <row r="1910">
      <c r="A1910" s="31"/>
      <c r="B1910" s="31"/>
      <c r="C1910" s="32"/>
      <c r="D1910" s="40"/>
      <c r="E1910" s="32"/>
      <c r="F1910" s="34"/>
      <c r="G1910" s="32"/>
      <c r="H1910" s="32"/>
      <c r="K1910" s="41"/>
      <c r="M1910" s="41"/>
      <c r="N1910" s="42"/>
    </row>
    <row r="1911">
      <c r="A1911" s="31"/>
      <c r="B1911" s="31"/>
      <c r="C1911" s="32"/>
      <c r="D1911" s="40"/>
      <c r="E1911" s="32"/>
      <c r="F1911" s="34"/>
      <c r="G1911" s="32"/>
      <c r="H1911" s="32"/>
      <c r="K1911" s="41"/>
      <c r="M1911" s="41"/>
      <c r="N1911" s="42"/>
    </row>
    <row r="1912">
      <c r="A1912" s="31"/>
      <c r="B1912" s="31"/>
      <c r="C1912" s="32"/>
      <c r="D1912" s="40"/>
      <c r="E1912" s="32"/>
      <c r="F1912" s="34"/>
      <c r="G1912" s="32"/>
      <c r="H1912" s="32"/>
      <c r="K1912" s="41"/>
      <c r="M1912" s="41"/>
      <c r="N1912" s="42"/>
    </row>
    <row r="1913">
      <c r="A1913" s="31"/>
      <c r="B1913" s="31"/>
      <c r="C1913" s="32"/>
      <c r="D1913" s="40"/>
      <c r="E1913" s="32"/>
      <c r="F1913" s="34"/>
      <c r="G1913" s="32"/>
      <c r="H1913" s="32"/>
      <c r="K1913" s="41"/>
      <c r="M1913" s="41"/>
      <c r="N1913" s="42"/>
    </row>
    <row r="1914">
      <c r="A1914" s="31"/>
      <c r="B1914" s="31"/>
      <c r="C1914" s="32"/>
      <c r="D1914" s="40"/>
      <c r="E1914" s="32"/>
      <c r="F1914" s="34"/>
      <c r="G1914" s="32"/>
      <c r="H1914" s="32"/>
      <c r="K1914" s="41"/>
      <c r="M1914" s="41"/>
      <c r="N1914" s="42"/>
    </row>
    <row r="1915">
      <c r="A1915" s="31"/>
      <c r="B1915" s="31"/>
      <c r="C1915" s="32"/>
      <c r="D1915" s="40"/>
      <c r="E1915" s="32"/>
      <c r="F1915" s="34"/>
      <c r="G1915" s="32"/>
      <c r="H1915" s="32"/>
      <c r="K1915" s="41"/>
      <c r="M1915" s="41"/>
      <c r="N1915" s="42"/>
    </row>
    <row r="1916">
      <c r="A1916" s="31"/>
      <c r="B1916" s="31"/>
      <c r="C1916" s="32"/>
      <c r="D1916" s="40"/>
      <c r="E1916" s="32"/>
      <c r="F1916" s="34"/>
      <c r="G1916" s="32"/>
      <c r="H1916" s="32"/>
      <c r="K1916" s="41"/>
      <c r="M1916" s="41"/>
      <c r="N1916" s="42"/>
    </row>
    <row r="1917">
      <c r="A1917" s="31"/>
      <c r="B1917" s="31"/>
      <c r="C1917" s="32"/>
      <c r="D1917" s="40"/>
      <c r="E1917" s="32"/>
      <c r="F1917" s="34"/>
      <c r="G1917" s="32"/>
      <c r="H1917" s="32"/>
      <c r="K1917" s="41"/>
      <c r="M1917" s="41"/>
      <c r="N1917" s="42"/>
    </row>
    <row r="1918">
      <c r="A1918" s="31"/>
      <c r="B1918" s="31"/>
      <c r="C1918" s="32"/>
      <c r="D1918" s="40"/>
      <c r="E1918" s="32"/>
      <c r="F1918" s="34"/>
      <c r="G1918" s="32"/>
      <c r="H1918" s="32"/>
      <c r="K1918" s="41"/>
      <c r="M1918" s="41"/>
      <c r="N1918" s="42"/>
    </row>
    <row r="1919">
      <c r="A1919" s="31"/>
      <c r="B1919" s="31"/>
      <c r="C1919" s="32"/>
      <c r="D1919" s="40"/>
      <c r="E1919" s="32"/>
      <c r="F1919" s="34"/>
      <c r="G1919" s="32"/>
      <c r="H1919" s="32"/>
      <c r="K1919" s="41"/>
      <c r="M1919" s="41"/>
      <c r="N1919" s="42"/>
    </row>
    <row r="1920">
      <c r="A1920" s="31"/>
      <c r="B1920" s="31"/>
      <c r="C1920" s="32"/>
      <c r="D1920" s="40"/>
      <c r="E1920" s="32"/>
      <c r="F1920" s="34"/>
      <c r="G1920" s="32"/>
      <c r="H1920" s="32"/>
      <c r="K1920" s="41"/>
      <c r="M1920" s="41"/>
      <c r="N1920" s="42"/>
    </row>
    <row r="1921">
      <c r="A1921" s="31"/>
      <c r="B1921" s="31"/>
      <c r="C1921" s="32"/>
      <c r="D1921" s="40"/>
      <c r="E1921" s="32"/>
      <c r="F1921" s="34"/>
      <c r="G1921" s="32"/>
      <c r="H1921" s="32"/>
      <c r="K1921" s="41"/>
      <c r="M1921" s="41"/>
      <c r="N1921" s="42"/>
    </row>
    <row r="1922">
      <c r="A1922" s="31"/>
      <c r="B1922" s="31"/>
      <c r="C1922" s="32"/>
      <c r="D1922" s="40"/>
      <c r="E1922" s="32"/>
      <c r="F1922" s="34"/>
      <c r="G1922" s="32"/>
      <c r="H1922" s="32"/>
      <c r="K1922" s="41"/>
      <c r="M1922" s="41"/>
      <c r="N1922" s="42"/>
    </row>
    <row r="1923">
      <c r="A1923" s="31"/>
      <c r="B1923" s="31"/>
      <c r="C1923" s="32"/>
      <c r="D1923" s="40"/>
      <c r="E1923" s="32"/>
      <c r="F1923" s="34"/>
      <c r="G1923" s="32"/>
      <c r="H1923" s="32"/>
      <c r="K1923" s="41"/>
      <c r="M1923" s="41"/>
      <c r="N1923" s="42"/>
    </row>
    <row r="1924">
      <c r="A1924" s="31"/>
      <c r="B1924" s="31"/>
      <c r="C1924" s="32"/>
      <c r="D1924" s="40"/>
      <c r="E1924" s="32"/>
      <c r="F1924" s="34"/>
      <c r="G1924" s="32"/>
      <c r="H1924" s="32"/>
      <c r="K1924" s="41"/>
      <c r="M1924" s="41"/>
      <c r="N1924" s="42"/>
    </row>
    <row r="1925">
      <c r="A1925" s="31"/>
      <c r="B1925" s="31"/>
      <c r="C1925" s="32"/>
      <c r="D1925" s="40"/>
      <c r="E1925" s="32"/>
      <c r="F1925" s="34"/>
      <c r="G1925" s="32"/>
      <c r="H1925" s="32"/>
      <c r="K1925" s="41"/>
      <c r="M1925" s="41"/>
      <c r="N1925" s="42"/>
    </row>
    <row r="1926">
      <c r="A1926" s="31"/>
      <c r="B1926" s="31"/>
      <c r="C1926" s="32"/>
      <c r="D1926" s="40"/>
      <c r="E1926" s="32"/>
      <c r="F1926" s="34"/>
      <c r="G1926" s="32"/>
      <c r="H1926" s="32"/>
      <c r="K1926" s="41"/>
      <c r="M1926" s="41"/>
      <c r="N1926" s="42"/>
    </row>
    <row r="1927">
      <c r="A1927" s="31"/>
      <c r="B1927" s="31"/>
      <c r="C1927" s="32"/>
      <c r="D1927" s="40"/>
      <c r="E1927" s="32"/>
      <c r="F1927" s="34"/>
      <c r="G1927" s="32"/>
      <c r="H1927" s="32"/>
      <c r="K1927" s="41"/>
      <c r="M1927" s="41"/>
      <c r="N1927" s="42"/>
    </row>
    <row r="1928">
      <c r="A1928" s="31"/>
      <c r="B1928" s="31"/>
      <c r="C1928" s="32"/>
      <c r="D1928" s="40"/>
      <c r="E1928" s="32"/>
      <c r="F1928" s="34"/>
      <c r="G1928" s="32"/>
      <c r="H1928" s="32"/>
      <c r="K1928" s="41"/>
      <c r="M1928" s="41"/>
      <c r="N1928" s="42"/>
    </row>
    <row r="1929">
      <c r="A1929" s="31"/>
      <c r="B1929" s="31"/>
      <c r="C1929" s="32"/>
      <c r="D1929" s="40"/>
      <c r="E1929" s="32"/>
      <c r="F1929" s="34"/>
      <c r="G1929" s="32"/>
      <c r="H1929" s="32"/>
      <c r="K1929" s="41"/>
      <c r="M1929" s="41"/>
      <c r="N1929" s="42"/>
    </row>
    <row r="1930">
      <c r="A1930" s="31"/>
      <c r="B1930" s="31"/>
      <c r="C1930" s="32"/>
      <c r="D1930" s="40"/>
      <c r="E1930" s="32"/>
      <c r="F1930" s="34"/>
      <c r="G1930" s="32"/>
      <c r="H1930" s="32"/>
      <c r="K1930" s="41"/>
      <c r="M1930" s="41"/>
      <c r="N1930" s="42"/>
    </row>
    <row r="1931">
      <c r="A1931" s="31"/>
      <c r="B1931" s="31"/>
      <c r="C1931" s="32"/>
      <c r="D1931" s="40"/>
      <c r="E1931" s="32"/>
      <c r="F1931" s="34"/>
      <c r="G1931" s="32"/>
      <c r="H1931" s="32"/>
      <c r="K1931" s="41"/>
      <c r="M1931" s="41"/>
      <c r="N1931" s="42"/>
    </row>
    <row r="1932">
      <c r="A1932" s="31"/>
      <c r="B1932" s="31"/>
      <c r="C1932" s="32"/>
      <c r="D1932" s="40"/>
      <c r="E1932" s="32"/>
      <c r="F1932" s="34"/>
      <c r="G1932" s="32"/>
      <c r="H1932" s="32"/>
      <c r="K1932" s="41"/>
      <c r="M1932" s="41"/>
      <c r="N1932" s="42"/>
    </row>
    <row r="1933">
      <c r="A1933" s="31"/>
      <c r="B1933" s="31"/>
      <c r="C1933" s="32"/>
      <c r="D1933" s="40"/>
      <c r="E1933" s="32"/>
      <c r="F1933" s="34"/>
      <c r="G1933" s="32"/>
      <c r="H1933" s="32"/>
      <c r="K1933" s="41"/>
      <c r="M1933" s="41"/>
      <c r="N1933" s="42"/>
    </row>
    <row r="1934">
      <c r="A1934" s="31"/>
      <c r="B1934" s="31"/>
      <c r="C1934" s="32"/>
      <c r="D1934" s="40"/>
      <c r="E1934" s="32"/>
      <c r="F1934" s="34"/>
      <c r="G1934" s="32"/>
      <c r="H1934" s="32"/>
      <c r="K1934" s="41"/>
      <c r="M1934" s="41"/>
      <c r="N1934" s="42"/>
    </row>
    <row r="1935">
      <c r="A1935" s="31"/>
      <c r="B1935" s="31"/>
      <c r="C1935" s="32"/>
      <c r="D1935" s="40"/>
      <c r="E1935" s="32"/>
      <c r="F1935" s="34"/>
      <c r="G1935" s="32"/>
      <c r="H1935" s="32"/>
      <c r="K1935" s="41"/>
      <c r="M1935" s="41"/>
      <c r="N1935" s="42"/>
    </row>
    <row r="1936">
      <c r="A1936" s="31"/>
      <c r="B1936" s="31"/>
      <c r="C1936" s="32"/>
      <c r="D1936" s="40"/>
      <c r="E1936" s="32"/>
      <c r="F1936" s="34"/>
      <c r="G1936" s="32"/>
      <c r="H1936" s="32"/>
      <c r="K1936" s="41"/>
      <c r="M1936" s="41"/>
      <c r="N1936" s="42"/>
    </row>
    <row r="1937">
      <c r="A1937" s="31"/>
      <c r="B1937" s="31"/>
      <c r="C1937" s="32"/>
      <c r="D1937" s="40"/>
      <c r="E1937" s="32"/>
      <c r="F1937" s="34"/>
      <c r="G1937" s="32"/>
      <c r="H1937" s="32"/>
      <c r="K1937" s="41"/>
      <c r="M1937" s="41"/>
      <c r="N1937" s="42"/>
    </row>
    <row r="1938">
      <c r="A1938" s="31"/>
      <c r="B1938" s="31"/>
      <c r="C1938" s="32"/>
      <c r="D1938" s="40"/>
      <c r="E1938" s="32"/>
      <c r="F1938" s="34"/>
      <c r="G1938" s="32"/>
      <c r="H1938" s="32"/>
      <c r="K1938" s="41"/>
      <c r="M1938" s="41"/>
      <c r="N1938" s="42"/>
    </row>
    <row r="1939">
      <c r="A1939" s="31"/>
      <c r="B1939" s="31"/>
      <c r="C1939" s="32"/>
      <c r="D1939" s="40"/>
      <c r="E1939" s="32"/>
      <c r="F1939" s="34"/>
      <c r="G1939" s="32"/>
      <c r="H1939" s="32"/>
      <c r="K1939" s="41"/>
      <c r="M1939" s="41"/>
      <c r="N1939" s="42"/>
    </row>
    <row r="1940">
      <c r="A1940" s="31"/>
      <c r="B1940" s="31"/>
      <c r="C1940" s="32"/>
      <c r="D1940" s="40"/>
      <c r="E1940" s="32"/>
      <c r="F1940" s="34"/>
      <c r="G1940" s="32"/>
      <c r="H1940" s="32"/>
      <c r="K1940" s="41"/>
      <c r="M1940" s="41"/>
      <c r="N1940" s="42"/>
    </row>
    <row r="1941">
      <c r="A1941" s="31"/>
      <c r="B1941" s="31"/>
      <c r="C1941" s="32"/>
      <c r="D1941" s="40"/>
      <c r="E1941" s="32"/>
      <c r="F1941" s="34"/>
      <c r="G1941" s="32"/>
      <c r="H1941" s="32"/>
      <c r="K1941" s="41"/>
      <c r="M1941" s="41"/>
      <c r="N1941" s="42"/>
    </row>
    <row r="1942">
      <c r="A1942" s="31"/>
      <c r="B1942" s="31"/>
      <c r="C1942" s="32"/>
      <c r="D1942" s="40"/>
      <c r="E1942" s="32"/>
      <c r="F1942" s="34"/>
      <c r="G1942" s="32"/>
      <c r="H1942" s="32"/>
      <c r="K1942" s="41"/>
      <c r="M1942" s="41"/>
      <c r="N1942" s="42"/>
    </row>
    <row r="1943">
      <c r="A1943" s="31"/>
      <c r="B1943" s="31"/>
      <c r="C1943" s="32"/>
      <c r="D1943" s="40"/>
      <c r="E1943" s="32"/>
      <c r="F1943" s="34"/>
      <c r="G1943" s="32"/>
      <c r="H1943" s="32"/>
      <c r="K1943" s="41"/>
      <c r="M1943" s="41"/>
      <c r="N1943" s="42"/>
    </row>
    <row r="1944">
      <c r="A1944" s="31"/>
      <c r="B1944" s="31"/>
      <c r="C1944" s="32"/>
      <c r="D1944" s="40"/>
      <c r="E1944" s="32"/>
      <c r="F1944" s="34"/>
      <c r="G1944" s="32"/>
      <c r="H1944" s="32"/>
      <c r="K1944" s="41"/>
      <c r="M1944" s="41"/>
      <c r="N1944" s="42"/>
    </row>
    <row r="1945">
      <c r="A1945" s="31"/>
      <c r="B1945" s="31"/>
      <c r="C1945" s="32"/>
      <c r="D1945" s="40"/>
      <c r="E1945" s="32"/>
      <c r="F1945" s="34"/>
      <c r="G1945" s="32"/>
      <c r="H1945" s="32"/>
      <c r="K1945" s="41"/>
      <c r="M1945" s="41"/>
      <c r="N1945" s="42"/>
    </row>
    <row r="1946">
      <c r="A1946" s="31"/>
      <c r="B1946" s="31"/>
      <c r="C1946" s="32"/>
      <c r="D1946" s="40"/>
      <c r="E1946" s="32"/>
      <c r="F1946" s="34"/>
      <c r="G1946" s="32"/>
      <c r="H1946" s="32"/>
      <c r="K1946" s="41"/>
      <c r="M1946" s="41"/>
      <c r="N1946" s="42"/>
    </row>
    <row r="1947">
      <c r="A1947" s="31"/>
      <c r="B1947" s="31"/>
      <c r="C1947" s="32"/>
      <c r="D1947" s="40"/>
      <c r="E1947" s="32"/>
      <c r="F1947" s="34"/>
      <c r="G1947" s="32"/>
      <c r="H1947" s="32"/>
      <c r="K1947" s="41"/>
      <c r="M1947" s="41"/>
      <c r="N1947" s="42"/>
    </row>
    <row r="1948">
      <c r="A1948" s="31"/>
      <c r="B1948" s="31"/>
      <c r="C1948" s="32"/>
      <c r="D1948" s="40"/>
      <c r="E1948" s="32"/>
      <c r="F1948" s="34"/>
      <c r="G1948" s="32"/>
      <c r="H1948" s="32"/>
      <c r="K1948" s="41"/>
      <c r="M1948" s="41"/>
      <c r="N1948" s="42"/>
    </row>
    <row r="1949">
      <c r="A1949" s="31"/>
      <c r="B1949" s="31"/>
      <c r="C1949" s="32"/>
      <c r="D1949" s="40"/>
      <c r="E1949" s="32"/>
      <c r="F1949" s="34"/>
      <c r="G1949" s="32"/>
      <c r="H1949" s="32"/>
      <c r="K1949" s="41"/>
      <c r="M1949" s="41"/>
      <c r="N1949" s="42"/>
    </row>
    <row r="1950">
      <c r="A1950" s="31"/>
      <c r="B1950" s="31"/>
      <c r="C1950" s="32"/>
      <c r="D1950" s="40"/>
      <c r="E1950" s="32"/>
      <c r="F1950" s="34"/>
      <c r="G1950" s="32"/>
      <c r="H1950" s="32"/>
      <c r="K1950" s="41"/>
      <c r="M1950" s="41"/>
      <c r="N1950" s="42"/>
    </row>
    <row r="1951">
      <c r="A1951" s="31"/>
      <c r="B1951" s="31"/>
      <c r="C1951" s="32"/>
      <c r="D1951" s="40"/>
      <c r="E1951" s="32"/>
      <c r="F1951" s="34"/>
      <c r="G1951" s="32"/>
      <c r="H1951" s="32"/>
      <c r="K1951" s="41"/>
      <c r="M1951" s="41"/>
      <c r="N1951" s="42"/>
    </row>
    <row r="1952">
      <c r="A1952" s="31"/>
      <c r="B1952" s="31"/>
      <c r="C1952" s="32"/>
      <c r="D1952" s="40"/>
      <c r="E1952" s="32"/>
      <c r="F1952" s="34"/>
      <c r="G1952" s="32"/>
      <c r="H1952" s="32"/>
      <c r="K1952" s="41"/>
      <c r="M1952" s="41"/>
      <c r="N1952" s="42"/>
    </row>
    <row r="1953">
      <c r="A1953" s="31"/>
      <c r="B1953" s="31"/>
      <c r="C1953" s="32"/>
      <c r="D1953" s="40"/>
      <c r="E1953" s="32"/>
      <c r="F1953" s="34"/>
      <c r="G1953" s="32"/>
      <c r="H1953" s="32"/>
      <c r="K1953" s="41"/>
      <c r="M1953" s="41"/>
      <c r="N1953" s="42"/>
    </row>
    <row r="1954">
      <c r="A1954" s="31"/>
      <c r="B1954" s="31"/>
      <c r="C1954" s="32"/>
      <c r="D1954" s="40"/>
      <c r="E1954" s="32"/>
      <c r="F1954" s="34"/>
      <c r="G1954" s="32"/>
      <c r="H1954" s="32"/>
      <c r="K1954" s="41"/>
      <c r="M1954" s="41"/>
      <c r="N1954" s="42"/>
    </row>
    <row r="1955">
      <c r="A1955" s="31"/>
      <c r="B1955" s="31"/>
      <c r="C1955" s="32"/>
      <c r="D1955" s="40"/>
      <c r="E1955" s="32"/>
      <c r="F1955" s="34"/>
      <c r="G1955" s="32"/>
      <c r="H1955" s="32"/>
      <c r="K1955" s="41"/>
      <c r="M1955" s="41"/>
      <c r="N1955" s="42"/>
    </row>
    <row r="1956">
      <c r="A1956" s="31"/>
      <c r="B1956" s="31"/>
      <c r="C1956" s="32"/>
      <c r="D1956" s="40"/>
      <c r="E1956" s="32"/>
      <c r="F1956" s="34"/>
      <c r="G1956" s="32"/>
      <c r="H1956" s="32"/>
      <c r="K1956" s="41"/>
      <c r="M1956" s="41"/>
      <c r="N1956" s="42"/>
    </row>
    <row r="1957">
      <c r="A1957" s="31"/>
      <c r="B1957" s="31"/>
      <c r="C1957" s="32"/>
      <c r="D1957" s="40"/>
      <c r="E1957" s="32"/>
      <c r="F1957" s="34"/>
      <c r="G1957" s="32"/>
      <c r="H1957" s="32"/>
      <c r="K1957" s="41"/>
      <c r="M1957" s="41"/>
      <c r="N1957" s="42"/>
    </row>
    <row r="1958">
      <c r="A1958" s="31"/>
      <c r="B1958" s="31"/>
      <c r="C1958" s="32"/>
      <c r="D1958" s="40"/>
      <c r="E1958" s="32"/>
      <c r="F1958" s="34"/>
      <c r="G1958" s="32"/>
      <c r="H1958" s="32"/>
      <c r="K1958" s="41"/>
      <c r="M1958" s="41"/>
      <c r="N1958" s="42"/>
    </row>
    <row r="1959">
      <c r="A1959" s="31"/>
      <c r="B1959" s="31"/>
      <c r="C1959" s="32"/>
      <c r="D1959" s="40"/>
      <c r="E1959" s="32"/>
      <c r="F1959" s="34"/>
      <c r="G1959" s="32"/>
      <c r="H1959" s="32"/>
      <c r="K1959" s="41"/>
      <c r="M1959" s="41"/>
      <c r="N1959" s="42"/>
    </row>
    <row r="1960">
      <c r="A1960" s="31"/>
      <c r="B1960" s="31"/>
      <c r="C1960" s="32"/>
      <c r="D1960" s="40"/>
      <c r="E1960" s="32"/>
      <c r="F1960" s="34"/>
      <c r="G1960" s="32"/>
      <c r="H1960" s="32"/>
      <c r="K1960" s="41"/>
      <c r="M1960" s="41"/>
      <c r="N1960" s="42"/>
    </row>
    <row r="1961">
      <c r="A1961" s="31"/>
      <c r="B1961" s="31"/>
      <c r="C1961" s="32"/>
      <c r="D1961" s="40"/>
      <c r="E1961" s="32"/>
      <c r="F1961" s="34"/>
      <c r="G1961" s="32"/>
      <c r="H1961" s="32"/>
      <c r="K1961" s="41"/>
      <c r="M1961" s="41"/>
      <c r="N1961" s="42"/>
    </row>
    <row r="1962">
      <c r="A1962" s="31"/>
      <c r="B1962" s="31"/>
      <c r="C1962" s="32"/>
      <c r="D1962" s="40"/>
      <c r="E1962" s="32"/>
      <c r="F1962" s="34"/>
      <c r="G1962" s="32"/>
      <c r="H1962" s="32"/>
      <c r="K1962" s="41"/>
      <c r="M1962" s="41"/>
      <c r="N1962" s="42"/>
    </row>
    <row r="1963">
      <c r="A1963" s="31"/>
      <c r="B1963" s="31"/>
      <c r="C1963" s="32"/>
      <c r="D1963" s="40"/>
      <c r="E1963" s="32"/>
      <c r="F1963" s="34"/>
      <c r="G1963" s="32"/>
      <c r="H1963" s="32"/>
      <c r="K1963" s="41"/>
      <c r="M1963" s="41"/>
      <c r="N1963" s="42"/>
    </row>
    <row r="1964">
      <c r="A1964" s="31"/>
      <c r="B1964" s="31"/>
      <c r="C1964" s="32"/>
      <c r="D1964" s="40"/>
      <c r="E1964" s="32"/>
      <c r="F1964" s="34"/>
      <c r="G1964" s="32"/>
      <c r="H1964" s="32"/>
      <c r="K1964" s="41"/>
      <c r="M1964" s="41"/>
      <c r="N1964" s="42"/>
    </row>
    <row r="1965">
      <c r="A1965" s="31"/>
      <c r="B1965" s="31"/>
      <c r="C1965" s="32"/>
      <c r="D1965" s="40"/>
      <c r="E1965" s="32"/>
      <c r="F1965" s="34"/>
      <c r="G1965" s="32"/>
      <c r="H1965" s="32"/>
      <c r="K1965" s="41"/>
      <c r="M1965" s="41"/>
      <c r="N1965" s="42"/>
    </row>
    <row r="1966">
      <c r="A1966" s="31"/>
      <c r="B1966" s="31"/>
      <c r="C1966" s="32"/>
      <c r="D1966" s="40"/>
      <c r="E1966" s="32"/>
      <c r="F1966" s="34"/>
      <c r="G1966" s="32"/>
      <c r="H1966" s="32"/>
      <c r="K1966" s="41"/>
      <c r="M1966" s="41"/>
      <c r="N1966" s="42"/>
    </row>
    <row r="1967">
      <c r="A1967" s="31"/>
      <c r="B1967" s="31"/>
      <c r="C1967" s="32"/>
      <c r="D1967" s="40"/>
      <c r="E1967" s="32"/>
      <c r="F1967" s="34"/>
      <c r="G1967" s="32"/>
      <c r="H1967" s="32"/>
      <c r="K1967" s="41"/>
      <c r="M1967" s="41"/>
      <c r="N1967" s="42"/>
    </row>
    <row r="1968">
      <c r="A1968" s="31"/>
      <c r="B1968" s="31"/>
      <c r="C1968" s="32"/>
      <c r="D1968" s="40"/>
      <c r="E1968" s="32"/>
      <c r="F1968" s="34"/>
      <c r="G1968" s="32"/>
      <c r="H1968" s="32"/>
      <c r="K1968" s="41"/>
      <c r="M1968" s="41"/>
      <c r="N1968" s="42"/>
    </row>
    <row r="1969">
      <c r="A1969" s="31"/>
      <c r="B1969" s="31"/>
      <c r="C1969" s="32"/>
      <c r="D1969" s="40"/>
      <c r="E1969" s="32"/>
      <c r="F1969" s="34"/>
      <c r="G1969" s="32"/>
      <c r="H1969" s="32"/>
      <c r="K1969" s="41"/>
      <c r="M1969" s="41"/>
      <c r="N1969" s="42"/>
    </row>
    <row r="1970">
      <c r="A1970" s="31"/>
      <c r="B1970" s="31"/>
      <c r="C1970" s="32"/>
      <c r="D1970" s="40"/>
      <c r="E1970" s="32"/>
      <c r="F1970" s="34"/>
      <c r="G1970" s="32"/>
      <c r="H1970" s="32"/>
      <c r="K1970" s="41"/>
      <c r="M1970" s="41"/>
      <c r="N1970" s="42"/>
    </row>
    <row r="1971">
      <c r="A1971" s="31"/>
      <c r="B1971" s="31"/>
      <c r="C1971" s="32"/>
      <c r="D1971" s="40"/>
      <c r="E1971" s="32"/>
      <c r="F1971" s="34"/>
      <c r="G1971" s="32"/>
      <c r="H1971" s="32"/>
      <c r="K1971" s="41"/>
      <c r="M1971" s="41"/>
      <c r="N1971" s="42"/>
    </row>
    <row r="1972">
      <c r="A1972" s="31"/>
      <c r="B1972" s="31"/>
      <c r="C1972" s="32"/>
      <c r="D1972" s="40"/>
      <c r="E1972" s="32"/>
      <c r="F1972" s="34"/>
      <c r="G1972" s="32"/>
      <c r="H1972" s="32"/>
      <c r="K1972" s="41"/>
      <c r="M1972" s="41"/>
      <c r="N1972" s="42"/>
    </row>
    <row r="1973">
      <c r="A1973" s="31"/>
      <c r="B1973" s="31"/>
      <c r="C1973" s="32"/>
      <c r="D1973" s="40"/>
      <c r="E1973" s="32"/>
      <c r="F1973" s="34"/>
      <c r="G1973" s="32"/>
      <c r="H1973" s="32"/>
      <c r="K1973" s="41"/>
      <c r="M1973" s="41"/>
      <c r="N1973" s="42"/>
    </row>
    <row r="1974">
      <c r="A1974" s="31"/>
      <c r="B1974" s="31"/>
      <c r="C1974" s="32"/>
      <c r="D1974" s="40"/>
      <c r="E1974" s="32"/>
      <c r="F1974" s="34"/>
      <c r="G1974" s="32"/>
      <c r="H1974" s="32"/>
      <c r="K1974" s="41"/>
      <c r="M1974" s="41"/>
      <c r="N1974" s="42"/>
    </row>
    <row r="1975">
      <c r="A1975" s="31"/>
      <c r="B1975" s="31"/>
      <c r="C1975" s="32"/>
      <c r="D1975" s="40"/>
      <c r="E1975" s="32"/>
      <c r="F1975" s="34"/>
      <c r="G1975" s="32"/>
      <c r="H1975" s="32"/>
      <c r="K1975" s="41"/>
      <c r="M1975" s="41"/>
      <c r="N1975" s="42"/>
    </row>
    <row r="1976">
      <c r="A1976" s="31"/>
      <c r="B1976" s="31"/>
      <c r="C1976" s="32"/>
      <c r="D1976" s="40"/>
      <c r="E1976" s="32"/>
      <c r="F1976" s="34"/>
      <c r="G1976" s="32"/>
      <c r="H1976" s="32"/>
      <c r="K1976" s="41"/>
      <c r="M1976" s="41"/>
      <c r="N1976" s="42"/>
    </row>
    <row r="1977">
      <c r="A1977" s="31"/>
      <c r="B1977" s="31"/>
      <c r="C1977" s="32"/>
      <c r="D1977" s="40"/>
      <c r="E1977" s="32"/>
      <c r="F1977" s="34"/>
      <c r="G1977" s="32"/>
      <c r="H1977" s="32"/>
      <c r="K1977" s="41"/>
      <c r="M1977" s="41"/>
      <c r="N1977" s="42"/>
    </row>
    <row r="1978">
      <c r="A1978" s="31"/>
      <c r="B1978" s="31"/>
      <c r="C1978" s="32"/>
      <c r="D1978" s="40"/>
      <c r="E1978" s="32"/>
      <c r="F1978" s="34"/>
      <c r="G1978" s="32"/>
      <c r="H1978" s="32"/>
      <c r="K1978" s="41"/>
      <c r="M1978" s="41"/>
      <c r="N1978" s="42"/>
    </row>
    <row r="1979">
      <c r="A1979" s="31"/>
      <c r="B1979" s="31"/>
      <c r="C1979" s="32"/>
      <c r="D1979" s="40"/>
      <c r="E1979" s="32"/>
      <c r="F1979" s="34"/>
      <c r="G1979" s="32"/>
      <c r="H1979" s="32"/>
      <c r="K1979" s="41"/>
      <c r="M1979" s="41"/>
      <c r="N1979" s="42"/>
    </row>
    <row r="1980">
      <c r="A1980" s="31"/>
      <c r="B1980" s="31"/>
      <c r="C1980" s="32"/>
      <c r="D1980" s="40"/>
      <c r="E1980" s="32"/>
      <c r="F1980" s="34"/>
      <c r="G1980" s="32"/>
      <c r="H1980" s="32"/>
      <c r="K1980" s="41"/>
      <c r="M1980" s="41"/>
      <c r="N1980" s="42"/>
    </row>
    <row r="1981">
      <c r="A1981" s="31"/>
      <c r="B1981" s="31"/>
      <c r="C1981" s="32"/>
      <c r="D1981" s="40"/>
      <c r="E1981" s="32"/>
      <c r="F1981" s="34"/>
      <c r="G1981" s="32"/>
      <c r="H1981" s="32"/>
      <c r="K1981" s="41"/>
      <c r="M1981" s="41"/>
      <c r="N1981" s="42"/>
    </row>
    <row r="1982">
      <c r="A1982" s="31"/>
      <c r="B1982" s="31"/>
      <c r="C1982" s="32"/>
      <c r="D1982" s="40"/>
      <c r="E1982" s="32"/>
      <c r="F1982" s="34"/>
      <c r="G1982" s="32"/>
      <c r="H1982" s="32"/>
      <c r="K1982" s="41"/>
      <c r="M1982" s="41"/>
      <c r="N1982" s="42"/>
    </row>
    <row r="1983">
      <c r="A1983" s="31"/>
      <c r="B1983" s="31"/>
      <c r="C1983" s="32"/>
      <c r="D1983" s="40"/>
      <c r="E1983" s="32"/>
      <c r="F1983" s="34"/>
      <c r="G1983" s="32"/>
      <c r="H1983" s="32"/>
      <c r="K1983" s="41"/>
      <c r="M1983" s="41"/>
      <c r="N1983" s="42"/>
    </row>
    <row r="1984">
      <c r="A1984" s="31"/>
      <c r="B1984" s="31"/>
      <c r="C1984" s="32"/>
      <c r="D1984" s="40"/>
      <c r="E1984" s="32"/>
      <c r="F1984" s="34"/>
      <c r="G1984" s="32"/>
      <c r="H1984" s="32"/>
      <c r="K1984" s="41"/>
      <c r="M1984" s="41"/>
      <c r="N1984" s="42"/>
    </row>
    <row r="1985">
      <c r="A1985" s="31"/>
      <c r="B1985" s="31"/>
      <c r="C1985" s="32"/>
      <c r="D1985" s="40"/>
      <c r="E1985" s="32"/>
      <c r="F1985" s="34"/>
      <c r="G1985" s="32"/>
      <c r="H1985" s="32"/>
      <c r="K1985" s="41"/>
      <c r="M1985" s="41"/>
      <c r="N1985" s="42"/>
    </row>
    <row r="1986">
      <c r="A1986" s="31"/>
      <c r="B1986" s="31"/>
      <c r="C1986" s="32"/>
      <c r="D1986" s="40"/>
      <c r="E1986" s="32"/>
      <c r="F1986" s="34"/>
      <c r="G1986" s="32"/>
      <c r="H1986" s="32"/>
      <c r="K1986" s="41"/>
      <c r="M1986" s="41"/>
      <c r="N1986" s="42"/>
    </row>
    <row r="1987">
      <c r="A1987" s="31"/>
      <c r="B1987" s="31"/>
      <c r="C1987" s="32"/>
      <c r="D1987" s="40"/>
      <c r="E1987" s="32"/>
      <c r="F1987" s="34"/>
      <c r="G1987" s="32"/>
      <c r="H1987" s="32"/>
      <c r="K1987" s="41"/>
      <c r="M1987" s="41"/>
      <c r="N1987" s="42"/>
    </row>
    <row r="1988">
      <c r="A1988" s="31"/>
      <c r="B1988" s="31"/>
      <c r="C1988" s="32"/>
      <c r="D1988" s="40"/>
      <c r="E1988" s="32"/>
      <c r="F1988" s="34"/>
      <c r="G1988" s="32"/>
      <c r="H1988" s="32"/>
      <c r="K1988" s="41"/>
      <c r="M1988" s="41"/>
      <c r="N1988" s="42"/>
    </row>
    <row r="1989">
      <c r="A1989" s="31"/>
      <c r="B1989" s="31"/>
      <c r="C1989" s="32"/>
      <c r="D1989" s="40"/>
      <c r="E1989" s="32"/>
      <c r="F1989" s="34"/>
      <c r="G1989" s="32"/>
      <c r="H1989" s="32"/>
      <c r="K1989" s="41"/>
      <c r="M1989" s="41"/>
      <c r="N1989" s="42"/>
    </row>
    <row r="1990">
      <c r="A1990" s="31"/>
      <c r="B1990" s="31"/>
      <c r="C1990" s="32"/>
      <c r="D1990" s="40"/>
      <c r="E1990" s="32"/>
      <c r="F1990" s="34"/>
      <c r="G1990" s="32"/>
      <c r="H1990" s="32"/>
      <c r="K1990" s="41"/>
      <c r="M1990" s="41"/>
      <c r="N1990" s="42"/>
    </row>
    <row r="1991">
      <c r="A1991" s="31"/>
      <c r="B1991" s="31"/>
      <c r="C1991" s="32"/>
      <c r="D1991" s="40"/>
      <c r="E1991" s="32"/>
      <c r="F1991" s="34"/>
      <c r="G1991" s="32"/>
      <c r="H1991" s="32"/>
      <c r="K1991" s="41"/>
      <c r="M1991" s="41"/>
      <c r="N1991" s="42"/>
    </row>
    <row r="1992">
      <c r="A1992" s="31"/>
      <c r="B1992" s="31"/>
      <c r="C1992" s="32"/>
      <c r="D1992" s="40"/>
      <c r="E1992" s="32"/>
      <c r="F1992" s="34"/>
      <c r="G1992" s="32"/>
      <c r="H1992" s="32"/>
      <c r="K1992" s="41"/>
      <c r="M1992" s="41"/>
      <c r="N1992" s="42"/>
    </row>
    <row r="1993">
      <c r="A1993" s="31"/>
      <c r="B1993" s="31"/>
      <c r="C1993" s="32"/>
      <c r="D1993" s="40"/>
      <c r="E1993" s="32"/>
      <c r="F1993" s="34"/>
      <c r="G1993" s="32"/>
      <c r="H1993" s="32"/>
      <c r="K1993" s="41"/>
      <c r="M1993" s="41"/>
      <c r="N1993" s="42"/>
    </row>
    <row r="1994">
      <c r="A1994" s="31"/>
      <c r="B1994" s="31"/>
      <c r="C1994" s="32"/>
      <c r="D1994" s="40"/>
      <c r="E1994" s="32"/>
      <c r="F1994" s="34"/>
      <c r="G1994" s="32"/>
      <c r="H1994" s="32"/>
      <c r="K1994" s="41"/>
      <c r="M1994" s="41"/>
      <c r="N1994" s="42"/>
    </row>
    <row r="1995">
      <c r="A1995" s="31"/>
      <c r="B1995" s="31"/>
      <c r="C1995" s="32"/>
      <c r="D1995" s="40"/>
      <c r="E1995" s="32"/>
      <c r="F1995" s="34"/>
      <c r="G1995" s="32"/>
      <c r="H1995" s="32"/>
      <c r="K1995" s="41"/>
      <c r="M1995" s="41"/>
      <c r="N1995" s="42"/>
    </row>
    <row r="1996">
      <c r="A1996" s="31"/>
      <c r="B1996" s="31"/>
      <c r="C1996" s="32"/>
      <c r="D1996" s="40"/>
      <c r="E1996" s="32"/>
      <c r="F1996" s="34"/>
      <c r="G1996" s="32"/>
      <c r="H1996" s="32"/>
      <c r="K1996" s="41"/>
      <c r="M1996" s="41"/>
      <c r="N1996" s="42"/>
    </row>
    <row r="1997">
      <c r="A1997" s="31"/>
      <c r="B1997" s="31"/>
      <c r="C1997" s="32"/>
      <c r="D1997" s="40"/>
      <c r="E1997" s="32"/>
      <c r="F1997" s="34"/>
      <c r="G1997" s="32"/>
      <c r="H1997" s="32"/>
      <c r="K1997" s="41"/>
      <c r="M1997" s="41"/>
      <c r="N1997" s="42"/>
    </row>
    <row r="1998">
      <c r="A1998" s="31"/>
      <c r="B1998" s="31"/>
      <c r="C1998" s="32"/>
      <c r="D1998" s="40"/>
      <c r="E1998" s="32"/>
      <c r="F1998" s="34"/>
      <c r="G1998" s="32"/>
      <c r="H1998" s="32"/>
      <c r="K1998" s="41"/>
      <c r="M1998" s="41"/>
      <c r="N1998" s="42"/>
    </row>
    <row r="1999">
      <c r="A1999" s="31"/>
      <c r="B1999" s="31"/>
      <c r="C1999" s="32"/>
      <c r="D1999" s="40"/>
      <c r="E1999" s="32"/>
      <c r="F1999" s="34"/>
      <c r="G1999" s="32"/>
      <c r="H1999" s="32"/>
      <c r="K1999" s="41"/>
      <c r="M1999" s="41"/>
      <c r="N1999" s="42"/>
    </row>
    <row r="2000">
      <c r="A2000" s="31"/>
      <c r="B2000" s="31"/>
      <c r="C2000" s="32"/>
      <c r="D2000" s="40"/>
      <c r="E2000" s="32"/>
      <c r="F2000" s="34"/>
      <c r="G2000" s="32"/>
      <c r="H2000" s="32"/>
      <c r="K2000" s="41"/>
      <c r="M2000" s="41"/>
      <c r="N2000" s="42"/>
    </row>
    <row r="2001">
      <c r="A2001" s="31"/>
      <c r="B2001" s="31"/>
      <c r="C2001" s="32"/>
      <c r="D2001" s="40"/>
      <c r="E2001" s="32"/>
      <c r="F2001" s="34"/>
      <c r="G2001" s="32"/>
      <c r="H2001" s="32"/>
      <c r="K2001" s="41"/>
      <c r="M2001" s="41"/>
      <c r="N2001" s="42"/>
    </row>
    <row r="2002">
      <c r="A2002" s="31"/>
      <c r="B2002" s="31"/>
      <c r="C2002" s="32"/>
      <c r="D2002" s="40"/>
      <c r="E2002" s="32"/>
      <c r="F2002" s="34"/>
      <c r="G2002" s="32"/>
      <c r="H2002" s="32"/>
      <c r="K2002" s="41"/>
      <c r="M2002" s="41"/>
      <c r="N2002" s="42"/>
    </row>
    <row r="2003">
      <c r="A2003" s="31"/>
      <c r="B2003" s="31"/>
      <c r="C2003" s="32"/>
      <c r="D2003" s="40"/>
      <c r="E2003" s="32"/>
      <c r="F2003" s="34"/>
      <c r="G2003" s="32"/>
      <c r="H2003" s="32"/>
      <c r="K2003" s="41"/>
      <c r="M2003" s="41"/>
      <c r="N2003" s="42"/>
    </row>
    <row r="2004">
      <c r="A2004" s="31"/>
      <c r="B2004" s="31"/>
      <c r="C2004" s="32"/>
      <c r="D2004" s="40"/>
      <c r="E2004" s="32"/>
      <c r="F2004" s="34"/>
      <c r="G2004" s="32"/>
      <c r="H2004" s="32"/>
      <c r="K2004" s="41"/>
      <c r="M2004" s="41"/>
      <c r="N2004" s="42"/>
    </row>
    <row r="2005">
      <c r="A2005" s="31"/>
      <c r="B2005" s="31"/>
      <c r="C2005" s="32"/>
      <c r="D2005" s="40"/>
      <c r="E2005" s="32"/>
      <c r="F2005" s="34"/>
      <c r="G2005" s="32"/>
      <c r="H2005" s="32"/>
      <c r="K2005" s="41"/>
      <c r="M2005" s="41"/>
      <c r="N2005" s="42"/>
    </row>
    <row r="2006">
      <c r="A2006" s="31"/>
      <c r="B2006" s="31"/>
      <c r="C2006" s="32"/>
      <c r="D2006" s="40"/>
      <c r="E2006" s="32"/>
      <c r="F2006" s="34"/>
      <c r="G2006" s="32"/>
      <c r="H2006" s="32"/>
      <c r="K2006" s="41"/>
      <c r="M2006" s="41"/>
      <c r="N2006" s="42"/>
    </row>
    <row r="2007">
      <c r="A2007" s="31"/>
      <c r="B2007" s="31"/>
      <c r="C2007" s="32"/>
      <c r="D2007" s="40"/>
      <c r="E2007" s="32"/>
      <c r="F2007" s="34"/>
      <c r="G2007" s="32"/>
      <c r="H2007" s="32"/>
      <c r="K2007" s="41"/>
      <c r="M2007" s="41"/>
      <c r="N2007" s="42"/>
    </row>
    <row r="2008">
      <c r="A2008" s="31"/>
      <c r="B2008" s="31"/>
      <c r="C2008" s="32"/>
      <c r="D2008" s="40"/>
      <c r="E2008" s="32"/>
      <c r="F2008" s="34"/>
      <c r="G2008" s="32"/>
      <c r="H2008" s="32"/>
      <c r="K2008" s="41"/>
      <c r="M2008" s="41"/>
      <c r="N2008" s="42"/>
    </row>
    <row r="2009">
      <c r="A2009" s="31"/>
      <c r="B2009" s="31"/>
      <c r="C2009" s="32"/>
      <c r="D2009" s="40"/>
      <c r="E2009" s="32"/>
      <c r="F2009" s="34"/>
      <c r="G2009" s="32"/>
      <c r="H2009" s="32"/>
      <c r="K2009" s="41"/>
      <c r="M2009" s="41"/>
      <c r="N2009" s="42"/>
    </row>
    <row r="2010">
      <c r="A2010" s="31"/>
      <c r="B2010" s="31"/>
      <c r="C2010" s="32"/>
      <c r="D2010" s="40"/>
      <c r="E2010" s="32"/>
      <c r="F2010" s="34"/>
      <c r="G2010" s="32"/>
      <c r="H2010" s="32"/>
      <c r="K2010" s="41"/>
      <c r="M2010" s="41"/>
      <c r="N2010" s="42"/>
    </row>
    <row r="2011">
      <c r="A2011" s="31"/>
      <c r="B2011" s="31"/>
      <c r="C2011" s="32"/>
      <c r="D2011" s="40"/>
      <c r="E2011" s="32"/>
      <c r="F2011" s="34"/>
      <c r="G2011" s="32"/>
      <c r="H2011" s="32"/>
      <c r="K2011" s="41"/>
      <c r="M2011" s="41"/>
      <c r="N2011" s="42"/>
    </row>
    <row r="2012">
      <c r="A2012" s="31"/>
      <c r="B2012" s="31"/>
      <c r="C2012" s="32"/>
      <c r="D2012" s="40"/>
      <c r="E2012" s="32"/>
      <c r="F2012" s="34"/>
      <c r="G2012" s="32"/>
      <c r="H2012" s="32"/>
      <c r="K2012" s="41"/>
      <c r="M2012" s="41"/>
      <c r="N2012" s="42"/>
    </row>
    <row r="2013">
      <c r="A2013" s="31"/>
      <c r="B2013" s="31"/>
      <c r="C2013" s="32"/>
      <c r="D2013" s="40"/>
      <c r="E2013" s="32"/>
      <c r="F2013" s="34"/>
      <c r="G2013" s="32"/>
      <c r="H2013" s="32"/>
      <c r="K2013" s="41"/>
      <c r="M2013" s="41"/>
      <c r="N2013" s="42"/>
    </row>
    <row r="2014">
      <c r="A2014" s="31"/>
      <c r="B2014" s="31"/>
      <c r="C2014" s="32"/>
      <c r="D2014" s="40"/>
      <c r="E2014" s="32"/>
      <c r="F2014" s="34"/>
      <c r="G2014" s="32"/>
      <c r="H2014" s="32"/>
      <c r="K2014" s="41"/>
      <c r="M2014" s="41"/>
      <c r="N2014" s="42"/>
    </row>
    <row r="2015">
      <c r="A2015" s="31"/>
      <c r="B2015" s="31"/>
      <c r="C2015" s="32"/>
      <c r="D2015" s="40"/>
      <c r="E2015" s="32"/>
      <c r="F2015" s="34"/>
      <c r="G2015" s="32"/>
      <c r="H2015" s="32"/>
      <c r="K2015" s="41"/>
      <c r="M2015" s="41"/>
      <c r="N2015" s="42"/>
    </row>
    <row r="2016">
      <c r="A2016" s="31"/>
      <c r="B2016" s="31"/>
      <c r="C2016" s="32"/>
      <c r="D2016" s="40"/>
      <c r="E2016" s="32"/>
      <c r="F2016" s="34"/>
      <c r="G2016" s="32"/>
      <c r="H2016" s="32"/>
      <c r="K2016" s="41"/>
      <c r="M2016" s="41"/>
      <c r="N2016" s="42"/>
    </row>
    <row r="2017">
      <c r="A2017" s="31"/>
      <c r="B2017" s="31"/>
      <c r="C2017" s="32"/>
      <c r="D2017" s="40"/>
      <c r="E2017" s="32"/>
      <c r="F2017" s="34"/>
      <c r="G2017" s="32"/>
      <c r="H2017" s="32"/>
      <c r="K2017" s="41"/>
      <c r="M2017" s="41"/>
      <c r="N2017" s="42"/>
    </row>
    <row r="2018">
      <c r="A2018" s="31"/>
      <c r="B2018" s="31"/>
      <c r="C2018" s="32"/>
      <c r="D2018" s="40"/>
      <c r="E2018" s="32"/>
      <c r="F2018" s="34"/>
      <c r="G2018" s="32"/>
      <c r="H2018" s="32"/>
      <c r="K2018" s="41"/>
      <c r="M2018" s="41"/>
      <c r="N2018" s="42"/>
    </row>
    <row r="2019">
      <c r="A2019" s="31"/>
      <c r="B2019" s="31"/>
      <c r="C2019" s="32"/>
      <c r="D2019" s="40"/>
      <c r="E2019" s="32"/>
      <c r="F2019" s="34"/>
      <c r="G2019" s="32"/>
      <c r="H2019" s="32"/>
      <c r="K2019" s="41"/>
      <c r="M2019" s="41"/>
      <c r="N2019" s="42"/>
    </row>
    <row r="2020">
      <c r="A2020" s="31"/>
      <c r="B2020" s="31"/>
      <c r="C2020" s="32"/>
      <c r="D2020" s="40"/>
      <c r="E2020" s="32"/>
      <c r="F2020" s="34"/>
      <c r="G2020" s="32"/>
      <c r="H2020" s="32"/>
      <c r="K2020" s="41"/>
      <c r="M2020" s="41"/>
      <c r="N2020" s="42"/>
    </row>
    <row r="2021">
      <c r="A2021" s="31"/>
      <c r="B2021" s="31"/>
      <c r="C2021" s="32"/>
      <c r="D2021" s="40"/>
      <c r="E2021" s="32"/>
      <c r="F2021" s="34"/>
      <c r="G2021" s="32"/>
      <c r="H2021" s="32"/>
      <c r="K2021" s="41"/>
      <c r="M2021" s="41"/>
      <c r="N2021" s="42"/>
    </row>
    <row r="2022">
      <c r="A2022" s="31"/>
      <c r="B2022" s="31"/>
      <c r="C2022" s="32"/>
      <c r="D2022" s="40"/>
      <c r="E2022" s="32"/>
      <c r="F2022" s="34"/>
      <c r="G2022" s="32"/>
      <c r="H2022" s="32"/>
      <c r="K2022" s="41"/>
      <c r="M2022" s="41"/>
      <c r="N2022" s="42"/>
    </row>
    <row r="2023">
      <c r="A2023" s="31"/>
      <c r="B2023" s="31"/>
      <c r="C2023" s="32"/>
      <c r="D2023" s="40"/>
      <c r="E2023" s="32"/>
      <c r="F2023" s="34"/>
      <c r="G2023" s="32"/>
      <c r="H2023" s="32"/>
      <c r="K2023" s="41"/>
      <c r="M2023" s="41"/>
      <c r="N2023" s="42"/>
    </row>
    <row r="2024">
      <c r="A2024" s="31"/>
      <c r="B2024" s="31"/>
      <c r="C2024" s="32"/>
      <c r="D2024" s="40"/>
      <c r="E2024" s="32"/>
      <c r="F2024" s="34"/>
      <c r="G2024" s="32"/>
      <c r="H2024" s="32"/>
      <c r="K2024" s="41"/>
      <c r="M2024" s="41"/>
      <c r="N2024" s="42"/>
    </row>
    <row r="2025">
      <c r="A2025" s="31"/>
      <c r="B2025" s="31"/>
      <c r="C2025" s="32"/>
      <c r="D2025" s="40"/>
      <c r="E2025" s="32"/>
      <c r="F2025" s="34"/>
      <c r="G2025" s="32"/>
      <c r="H2025" s="32"/>
      <c r="K2025" s="41"/>
      <c r="M2025" s="41"/>
      <c r="N2025" s="42"/>
    </row>
    <row r="2026">
      <c r="A2026" s="31"/>
      <c r="B2026" s="31"/>
      <c r="C2026" s="32"/>
      <c r="D2026" s="40"/>
      <c r="E2026" s="32"/>
      <c r="F2026" s="34"/>
      <c r="G2026" s="32"/>
      <c r="H2026" s="32"/>
      <c r="K2026" s="41"/>
      <c r="M2026" s="41"/>
      <c r="N2026" s="42"/>
    </row>
    <row r="2027">
      <c r="A2027" s="31"/>
      <c r="B2027" s="31"/>
      <c r="C2027" s="32"/>
      <c r="D2027" s="40"/>
      <c r="E2027" s="32"/>
      <c r="F2027" s="34"/>
      <c r="G2027" s="32"/>
      <c r="H2027" s="32"/>
      <c r="K2027" s="41"/>
      <c r="M2027" s="41"/>
      <c r="N2027" s="42"/>
    </row>
    <row r="2028">
      <c r="A2028" s="31"/>
      <c r="B2028" s="31"/>
      <c r="C2028" s="32"/>
      <c r="D2028" s="40"/>
      <c r="E2028" s="32"/>
      <c r="F2028" s="34"/>
      <c r="G2028" s="32"/>
      <c r="H2028" s="32"/>
      <c r="K2028" s="41"/>
      <c r="M2028" s="41"/>
      <c r="N2028" s="42"/>
    </row>
    <row r="2029">
      <c r="A2029" s="31"/>
      <c r="B2029" s="31"/>
      <c r="C2029" s="32"/>
      <c r="D2029" s="40"/>
      <c r="E2029" s="32"/>
      <c r="F2029" s="34"/>
      <c r="G2029" s="32"/>
      <c r="H2029" s="32"/>
      <c r="K2029" s="41"/>
      <c r="M2029" s="41"/>
      <c r="N2029" s="42"/>
    </row>
    <row r="2030">
      <c r="A2030" s="31"/>
      <c r="B2030" s="31"/>
      <c r="C2030" s="32"/>
      <c r="D2030" s="40"/>
      <c r="E2030" s="32"/>
      <c r="F2030" s="34"/>
      <c r="G2030" s="32"/>
      <c r="H2030" s="32"/>
      <c r="K2030" s="41"/>
      <c r="M2030" s="41"/>
      <c r="N2030" s="42"/>
    </row>
    <row r="2031">
      <c r="A2031" s="31"/>
      <c r="B2031" s="31"/>
      <c r="C2031" s="32"/>
      <c r="D2031" s="40"/>
      <c r="E2031" s="32"/>
      <c r="F2031" s="34"/>
      <c r="G2031" s="32"/>
      <c r="H2031" s="32"/>
      <c r="K2031" s="41"/>
      <c r="M2031" s="41"/>
      <c r="N2031" s="42"/>
    </row>
    <row r="2032">
      <c r="A2032" s="31"/>
      <c r="B2032" s="31"/>
      <c r="C2032" s="32"/>
      <c r="D2032" s="40"/>
      <c r="E2032" s="32"/>
      <c r="F2032" s="34"/>
      <c r="G2032" s="32"/>
      <c r="H2032" s="32"/>
      <c r="K2032" s="41"/>
      <c r="M2032" s="41"/>
      <c r="N2032" s="42"/>
    </row>
    <row r="2033">
      <c r="A2033" s="31"/>
      <c r="B2033" s="31"/>
      <c r="C2033" s="32"/>
      <c r="D2033" s="40"/>
      <c r="E2033" s="32"/>
      <c r="F2033" s="34"/>
      <c r="G2033" s="32"/>
      <c r="H2033" s="32"/>
      <c r="K2033" s="41"/>
      <c r="M2033" s="41"/>
      <c r="N2033" s="42"/>
    </row>
    <row r="2034">
      <c r="A2034" s="31"/>
      <c r="B2034" s="31"/>
      <c r="C2034" s="32"/>
      <c r="D2034" s="40"/>
      <c r="E2034" s="32"/>
      <c r="F2034" s="34"/>
      <c r="G2034" s="32"/>
      <c r="H2034" s="32"/>
      <c r="K2034" s="41"/>
      <c r="M2034" s="41"/>
      <c r="N2034" s="42"/>
    </row>
    <row r="2035">
      <c r="A2035" s="31"/>
      <c r="B2035" s="31"/>
      <c r="C2035" s="32"/>
      <c r="D2035" s="40"/>
      <c r="E2035" s="32"/>
      <c r="F2035" s="34"/>
      <c r="G2035" s="32"/>
      <c r="H2035" s="32"/>
      <c r="K2035" s="41"/>
      <c r="M2035" s="41"/>
      <c r="N2035" s="42"/>
    </row>
    <row r="2036">
      <c r="A2036" s="31"/>
      <c r="B2036" s="31"/>
      <c r="C2036" s="32"/>
      <c r="D2036" s="40"/>
      <c r="E2036" s="32"/>
      <c r="F2036" s="34"/>
      <c r="G2036" s="32"/>
      <c r="H2036" s="32"/>
      <c r="K2036" s="41"/>
      <c r="M2036" s="41"/>
      <c r="N2036" s="42"/>
    </row>
    <row r="2037">
      <c r="A2037" s="31"/>
      <c r="B2037" s="31"/>
      <c r="C2037" s="32"/>
      <c r="D2037" s="40"/>
      <c r="E2037" s="32"/>
      <c r="F2037" s="34"/>
      <c r="G2037" s="32"/>
      <c r="H2037" s="32"/>
      <c r="K2037" s="41"/>
      <c r="M2037" s="41"/>
      <c r="N2037" s="42"/>
    </row>
    <row r="2038">
      <c r="A2038" s="31"/>
      <c r="B2038" s="31"/>
      <c r="C2038" s="32"/>
      <c r="D2038" s="40"/>
      <c r="E2038" s="32"/>
      <c r="F2038" s="34"/>
      <c r="G2038" s="32"/>
      <c r="H2038" s="32"/>
      <c r="K2038" s="41"/>
      <c r="M2038" s="41"/>
      <c r="N2038" s="42"/>
    </row>
    <row r="2039">
      <c r="A2039" s="31"/>
      <c r="B2039" s="31"/>
      <c r="C2039" s="32"/>
      <c r="D2039" s="40"/>
      <c r="E2039" s="32"/>
      <c r="F2039" s="34"/>
      <c r="G2039" s="32"/>
      <c r="H2039" s="32"/>
      <c r="K2039" s="41"/>
      <c r="M2039" s="41"/>
      <c r="N2039" s="42"/>
    </row>
    <row r="2040">
      <c r="A2040" s="31"/>
      <c r="B2040" s="31"/>
      <c r="C2040" s="32"/>
      <c r="D2040" s="40"/>
      <c r="E2040" s="32"/>
      <c r="F2040" s="34"/>
      <c r="G2040" s="32"/>
      <c r="H2040" s="32"/>
      <c r="K2040" s="41"/>
      <c r="M2040" s="41"/>
      <c r="N2040" s="42"/>
    </row>
    <row r="2041">
      <c r="A2041" s="31"/>
      <c r="B2041" s="31"/>
      <c r="C2041" s="32"/>
      <c r="D2041" s="40"/>
      <c r="E2041" s="32"/>
      <c r="F2041" s="34"/>
      <c r="G2041" s="32"/>
      <c r="H2041" s="32"/>
      <c r="K2041" s="41"/>
      <c r="M2041" s="41"/>
      <c r="N2041" s="42"/>
    </row>
    <row r="2042">
      <c r="A2042" s="31"/>
      <c r="B2042" s="31"/>
      <c r="C2042" s="32"/>
      <c r="D2042" s="40"/>
      <c r="E2042" s="32"/>
      <c r="F2042" s="34"/>
      <c r="G2042" s="32"/>
      <c r="H2042" s="32"/>
      <c r="K2042" s="41"/>
      <c r="M2042" s="41"/>
      <c r="N2042" s="42"/>
    </row>
    <row r="2043">
      <c r="A2043" s="31"/>
      <c r="B2043" s="31"/>
      <c r="C2043" s="32"/>
      <c r="D2043" s="40"/>
      <c r="E2043" s="32"/>
      <c r="F2043" s="34"/>
      <c r="G2043" s="32"/>
      <c r="H2043" s="32"/>
      <c r="K2043" s="41"/>
      <c r="M2043" s="41"/>
      <c r="N2043" s="42"/>
    </row>
    <row r="2044">
      <c r="A2044" s="31"/>
      <c r="B2044" s="31"/>
      <c r="C2044" s="32"/>
      <c r="D2044" s="40"/>
      <c r="E2044" s="32"/>
      <c r="F2044" s="34"/>
      <c r="G2044" s="32"/>
      <c r="H2044" s="32"/>
      <c r="K2044" s="41"/>
      <c r="M2044" s="41"/>
      <c r="N2044" s="42"/>
    </row>
    <row r="2045">
      <c r="A2045" s="31"/>
      <c r="B2045" s="31"/>
      <c r="C2045" s="32"/>
      <c r="D2045" s="40"/>
      <c r="E2045" s="32"/>
      <c r="F2045" s="34"/>
      <c r="G2045" s="32"/>
      <c r="H2045" s="32"/>
      <c r="K2045" s="41"/>
      <c r="M2045" s="41"/>
      <c r="N2045" s="42"/>
    </row>
    <row r="2046">
      <c r="A2046" s="31"/>
      <c r="B2046" s="31"/>
      <c r="C2046" s="32"/>
      <c r="D2046" s="40"/>
      <c r="E2046" s="32"/>
      <c r="F2046" s="34"/>
      <c r="G2046" s="32"/>
      <c r="H2046" s="32"/>
      <c r="K2046" s="41"/>
      <c r="M2046" s="41"/>
      <c r="N2046" s="42"/>
    </row>
    <row r="2047">
      <c r="A2047" s="31"/>
      <c r="B2047" s="31"/>
      <c r="C2047" s="32"/>
      <c r="D2047" s="40"/>
      <c r="E2047" s="32"/>
      <c r="F2047" s="34"/>
      <c r="G2047" s="32"/>
      <c r="H2047" s="32"/>
      <c r="K2047" s="41"/>
      <c r="M2047" s="41"/>
      <c r="N2047" s="42"/>
    </row>
    <row r="2048">
      <c r="A2048" s="31"/>
      <c r="B2048" s="31"/>
      <c r="C2048" s="32"/>
      <c r="D2048" s="40"/>
      <c r="E2048" s="32"/>
      <c r="F2048" s="34"/>
      <c r="G2048" s="32"/>
      <c r="H2048" s="32"/>
      <c r="K2048" s="41"/>
      <c r="M2048" s="41"/>
      <c r="N2048" s="42"/>
    </row>
    <row r="2049">
      <c r="A2049" s="31"/>
      <c r="B2049" s="31"/>
      <c r="C2049" s="32"/>
      <c r="D2049" s="40"/>
      <c r="E2049" s="32"/>
      <c r="F2049" s="34"/>
      <c r="G2049" s="32"/>
      <c r="H2049" s="32"/>
      <c r="K2049" s="41"/>
      <c r="M2049" s="41"/>
      <c r="N2049" s="42"/>
    </row>
    <row r="2050">
      <c r="A2050" s="31"/>
      <c r="B2050" s="31"/>
      <c r="C2050" s="32"/>
      <c r="D2050" s="40"/>
      <c r="E2050" s="32"/>
      <c r="F2050" s="34"/>
      <c r="G2050" s="32"/>
      <c r="H2050" s="32"/>
      <c r="K2050" s="41"/>
      <c r="M2050" s="41"/>
      <c r="N2050" s="42"/>
    </row>
    <row r="2051">
      <c r="A2051" s="31"/>
      <c r="B2051" s="31"/>
      <c r="C2051" s="32"/>
      <c r="D2051" s="40"/>
      <c r="E2051" s="32"/>
      <c r="F2051" s="34"/>
      <c r="G2051" s="32"/>
      <c r="H2051" s="32"/>
      <c r="K2051" s="41"/>
      <c r="M2051" s="41"/>
      <c r="N2051" s="42"/>
    </row>
    <row r="2052">
      <c r="A2052" s="31"/>
      <c r="B2052" s="31"/>
      <c r="C2052" s="32"/>
      <c r="D2052" s="40"/>
      <c r="E2052" s="32"/>
      <c r="F2052" s="34"/>
      <c r="G2052" s="32"/>
      <c r="H2052" s="32"/>
      <c r="K2052" s="41"/>
      <c r="M2052" s="41"/>
      <c r="N2052" s="42"/>
    </row>
    <row r="2053">
      <c r="A2053" s="31"/>
      <c r="B2053" s="31"/>
      <c r="C2053" s="32"/>
      <c r="D2053" s="40"/>
      <c r="E2053" s="32"/>
      <c r="F2053" s="34"/>
      <c r="G2053" s="32"/>
      <c r="H2053" s="32"/>
      <c r="K2053" s="41"/>
      <c r="M2053" s="41"/>
      <c r="N2053" s="42"/>
    </row>
    <row r="2054">
      <c r="A2054" s="31"/>
      <c r="B2054" s="31"/>
      <c r="C2054" s="32"/>
      <c r="D2054" s="40"/>
      <c r="E2054" s="32"/>
      <c r="F2054" s="34"/>
      <c r="G2054" s="32"/>
      <c r="H2054" s="32"/>
      <c r="K2054" s="41"/>
      <c r="M2054" s="41"/>
      <c r="N2054" s="42"/>
    </row>
    <row r="2055">
      <c r="A2055" s="31"/>
      <c r="B2055" s="31"/>
      <c r="C2055" s="32"/>
      <c r="D2055" s="40"/>
      <c r="E2055" s="32"/>
      <c r="F2055" s="34"/>
      <c r="G2055" s="32"/>
      <c r="H2055" s="32"/>
      <c r="K2055" s="41"/>
      <c r="M2055" s="41"/>
      <c r="N2055" s="42"/>
    </row>
    <row r="2056">
      <c r="A2056" s="31"/>
      <c r="B2056" s="31"/>
      <c r="C2056" s="32"/>
      <c r="D2056" s="40"/>
      <c r="E2056" s="32"/>
      <c r="F2056" s="34"/>
      <c r="G2056" s="32"/>
      <c r="H2056" s="32"/>
      <c r="K2056" s="41"/>
      <c r="M2056" s="41"/>
      <c r="N2056" s="42"/>
    </row>
    <row r="2057">
      <c r="A2057" s="31"/>
      <c r="B2057" s="31"/>
      <c r="C2057" s="32"/>
      <c r="D2057" s="40"/>
      <c r="E2057" s="32"/>
      <c r="F2057" s="34"/>
      <c r="G2057" s="32"/>
      <c r="H2057" s="32"/>
      <c r="K2057" s="41"/>
      <c r="M2057" s="41"/>
      <c r="N2057" s="42"/>
    </row>
    <row r="2058">
      <c r="A2058" s="31"/>
      <c r="B2058" s="31"/>
      <c r="C2058" s="32"/>
      <c r="D2058" s="40"/>
      <c r="E2058" s="32"/>
      <c r="F2058" s="34"/>
      <c r="G2058" s="32"/>
      <c r="H2058" s="32"/>
      <c r="K2058" s="41"/>
      <c r="M2058" s="41"/>
      <c r="N2058" s="42"/>
    </row>
    <row r="2059">
      <c r="A2059" s="31"/>
      <c r="B2059" s="31"/>
      <c r="C2059" s="32"/>
      <c r="D2059" s="40"/>
      <c r="E2059" s="32"/>
      <c r="F2059" s="34"/>
      <c r="G2059" s="32"/>
      <c r="H2059" s="32"/>
      <c r="K2059" s="41"/>
      <c r="M2059" s="41"/>
      <c r="N2059" s="42"/>
    </row>
    <row r="2060">
      <c r="A2060" s="31"/>
      <c r="B2060" s="31"/>
      <c r="C2060" s="32"/>
      <c r="D2060" s="40"/>
      <c r="E2060" s="32"/>
      <c r="F2060" s="34"/>
      <c r="G2060" s="32"/>
      <c r="H2060" s="32"/>
      <c r="K2060" s="41"/>
      <c r="M2060" s="41"/>
      <c r="N2060" s="42"/>
    </row>
    <row r="2061">
      <c r="A2061" s="31"/>
      <c r="B2061" s="31"/>
      <c r="C2061" s="32"/>
      <c r="D2061" s="40"/>
      <c r="E2061" s="32"/>
      <c r="F2061" s="34"/>
      <c r="G2061" s="32"/>
      <c r="H2061" s="32"/>
      <c r="K2061" s="41"/>
      <c r="M2061" s="41"/>
      <c r="N2061" s="42"/>
    </row>
    <row r="2062">
      <c r="A2062" s="31"/>
      <c r="B2062" s="31"/>
      <c r="C2062" s="32"/>
      <c r="D2062" s="40"/>
      <c r="E2062" s="32"/>
      <c r="F2062" s="34"/>
      <c r="G2062" s="32"/>
      <c r="H2062" s="32"/>
      <c r="K2062" s="41"/>
      <c r="M2062" s="41"/>
      <c r="N2062" s="42"/>
    </row>
    <row r="2063">
      <c r="A2063" s="31"/>
      <c r="B2063" s="31"/>
      <c r="C2063" s="32"/>
      <c r="D2063" s="40"/>
      <c r="E2063" s="32"/>
      <c r="F2063" s="34"/>
      <c r="G2063" s="32"/>
      <c r="H2063" s="32"/>
      <c r="K2063" s="41"/>
      <c r="M2063" s="41"/>
      <c r="N2063" s="42"/>
    </row>
    <row r="2064">
      <c r="A2064" s="31"/>
      <c r="B2064" s="31"/>
      <c r="C2064" s="32"/>
      <c r="D2064" s="40"/>
      <c r="E2064" s="32"/>
      <c r="F2064" s="34"/>
      <c r="G2064" s="32"/>
      <c r="H2064" s="32"/>
      <c r="K2064" s="41"/>
      <c r="M2064" s="41"/>
      <c r="N2064" s="42"/>
    </row>
    <row r="2065">
      <c r="A2065" s="31"/>
      <c r="B2065" s="31"/>
      <c r="C2065" s="32"/>
      <c r="D2065" s="40"/>
      <c r="E2065" s="32"/>
      <c r="F2065" s="34"/>
      <c r="G2065" s="32"/>
      <c r="H2065" s="32"/>
      <c r="K2065" s="41"/>
      <c r="M2065" s="41"/>
      <c r="N2065" s="42"/>
    </row>
    <row r="2066">
      <c r="A2066" s="31"/>
      <c r="B2066" s="31"/>
      <c r="C2066" s="32"/>
      <c r="D2066" s="40"/>
      <c r="E2066" s="32"/>
      <c r="F2066" s="34"/>
      <c r="G2066" s="32"/>
      <c r="H2066" s="32"/>
      <c r="K2066" s="41"/>
      <c r="M2066" s="41"/>
      <c r="N2066" s="42"/>
    </row>
    <row r="2067">
      <c r="A2067" s="31"/>
      <c r="B2067" s="31"/>
      <c r="C2067" s="32"/>
      <c r="D2067" s="40"/>
      <c r="E2067" s="32"/>
      <c r="F2067" s="34"/>
      <c r="G2067" s="32"/>
      <c r="H2067" s="32"/>
      <c r="K2067" s="41"/>
      <c r="M2067" s="41"/>
      <c r="N2067" s="42"/>
    </row>
    <row r="2068">
      <c r="A2068" s="31"/>
      <c r="B2068" s="31"/>
      <c r="C2068" s="32"/>
      <c r="D2068" s="40"/>
      <c r="E2068" s="32"/>
      <c r="F2068" s="34"/>
      <c r="G2068" s="32"/>
      <c r="H2068" s="32"/>
      <c r="K2068" s="41"/>
      <c r="M2068" s="41"/>
      <c r="N2068" s="42"/>
    </row>
    <row r="2069">
      <c r="A2069" s="31"/>
      <c r="B2069" s="31"/>
      <c r="C2069" s="32"/>
      <c r="D2069" s="40"/>
      <c r="E2069" s="32"/>
      <c r="F2069" s="34"/>
      <c r="G2069" s="32"/>
      <c r="H2069" s="32"/>
      <c r="K2069" s="41"/>
      <c r="M2069" s="41"/>
      <c r="N2069" s="42"/>
    </row>
    <row r="2070">
      <c r="A2070" s="31"/>
      <c r="B2070" s="31"/>
      <c r="C2070" s="32"/>
      <c r="D2070" s="40"/>
      <c r="E2070" s="32"/>
      <c r="F2070" s="34"/>
      <c r="G2070" s="32"/>
      <c r="H2070" s="32"/>
      <c r="K2070" s="41"/>
      <c r="M2070" s="41"/>
      <c r="N2070" s="42"/>
    </row>
    <row r="2071">
      <c r="A2071" s="31"/>
      <c r="B2071" s="31"/>
      <c r="C2071" s="32"/>
      <c r="D2071" s="40"/>
      <c r="E2071" s="32"/>
      <c r="F2071" s="34"/>
      <c r="G2071" s="32"/>
      <c r="H2071" s="32"/>
      <c r="K2071" s="41"/>
      <c r="M2071" s="41"/>
      <c r="N2071" s="42"/>
    </row>
    <row r="2072">
      <c r="A2072" s="31"/>
      <c r="B2072" s="31"/>
      <c r="C2072" s="32"/>
      <c r="D2072" s="40"/>
      <c r="E2072" s="32"/>
      <c r="F2072" s="34"/>
      <c r="G2072" s="32"/>
      <c r="H2072" s="32"/>
      <c r="K2072" s="41"/>
      <c r="M2072" s="41"/>
      <c r="N2072" s="42"/>
    </row>
    <row r="2073">
      <c r="A2073" s="31"/>
      <c r="B2073" s="31"/>
      <c r="C2073" s="32"/>
      <c r="D2073" s="40"/>
      <c r="E2073" s="32"/>
      <c r="F2073" s="34"/>
      <c r="G2073" s="32"/>
      <c r="H2073" s="32"/>
      <c r="K2073" s="41"/>
      <c r="M2073" s="41"/>
      <c r="N2073" s="42"/>
    </row>
    <row r="2074">
      <c r="A2074" s="31"/>
      <c r="B2074" s="31"/>
      <c r="C2074" s="32"/>
      <c r="D2074" s="40"/>
      <c r="E2074" s="32"/>
      <c r="F2074" s="34"/>
      <c r="G2074" s="32"/>
      <c r="H2074" s="32"/>
      <c r="K2074" s="41"/>
      <c r="M2074" s="41"/>
      <c r="N2074" s="42"/>
    </row>
    <row r="2075">
      <c r="A2075" s="31"/>
      <c r="B2075" s="31"/>
      <c r="C2075" s="32"/>
      <c r="D2075" s="40"/>
      <c r="E2075" s="32"/>
      <c r="F2075" s="34"/>
      <c r="G2075" s="32"/>
      <c r="H2075" s="32"/>
      <c r="K2075" s="41"/>
      <c r="M2075" s="41"/>
      <c r="N2075" s="42"/>
    </row>
    <row r="2076">
      <c r="A2076" s="31"/>
      <c r="B2076" s="31"/>
      <c r="C2076" s="32"/>
      <c r="D2076" s="40"/>
      <c r="E2076" s="32"/>
      <c r="F2076" s="34"/>
      <c r="G2076" s="32"/>
      <c r="H2076" s="32"/>
      <c r="K2076" s="41"/>
      <c r="M2076" s="41"/>
      <c r="N2076" s="42"/>
    </row>
    <row r="2077">
      <c r="A2077" s="31"/>
      <c r="B2077" s="31"/>
      <c r="C2077" s="32"/>
      <c r="D2077" s="40"/>
      <c r="E2077" s="32"/>
      <c r="F2077" s="34"/>
      <c r="G2077" s="32"/>
      <c r="H2077" s="32"/>
      <c r="K2077" s="41"/>
      <c r="M2077" s="41"/>
      <c r="N2077" s="42"/>
    </row>
    <row r="2078">
      <c r="A2078" s="31"/>
      <c r="B2078" s="31"/>
      <c r="C2078" s="32"/>
      <c r="D2078" s="40"/>
      <c r="E2078" s="32"/>
      <c r="F2078" s="34"/>
      <c r="G2078" s="32"/>
      <c r="H2078" s="32"/>
      <c r="K2078" s="41"/>
      <c r="M2078" s="41"/>
      <c r="N2078" s="42"/>
    </row>
    <row r="2079">
      <c r="A2079" s="31"/>
      <c r="B2079" s="31"/>
      <c r="C2079" s="32"/>
      <c r="D2079" s="40"/>
      <c r="E2079" s="32"/>
      <c r="F2079" s="34"/>
      <c r="G2079" s="32"/>
      <c r="H2079" s="32"/>
      <c r="K2079" s="41"/>
      <c r="M2079" s="41"/>
      <c r="N2079" s="42"/>
    </row>
    <row r="2080">
      <c r="A2080" s="31"/>
      <c r="B2080" s="31"/>
      <c r="C2080" s="32"/>
      <c r="D2080" s="40"/>
      <c r="E2080" s="32"/>
      <c r="F2080" s="34"/>
      <c r="G2080" s="32"/>
      <c r="H2080" s="32"/>
      <c r="K2080" s="41"/>
      <c r="M2080" s="41"/>
      <c r="N2080" s="42"/>
    </row>
    <row r="2081">
      <c r="A2081" s="31"/>
      <c r="B2081" s="31"/>
      <c r="C2081" s="32"/>
      <c r="D2081" s="40"/>
      <c r="E2081" s="32"/>
      <c r="F2081" s="34"/>
      <c r="G2081" s="32"/>
      <c r="H2081" s="32"/>
      <c r="K2081" s="41"/>
      <c r="M2081" s="41"/>
      <c r="N2081" s="42"/>
    </row>
    <row r="2082">
      <c r="A2082" s="31"/>
      <c r="B2082" s="31"/>
      <c r="C2082" s="32"/>
      <c r="D2082" s="40"/>
      <c r="E2082" s="32"/>
      <c r="F2082" s="34"/>
      <c r="G2082" s="32"/>
      <c r="H2082" s="32"/>
      <c r="K2082" s="41"/>
      <c r="M2082" s="41"/>
      <c r="N2082" s="42"/>
    </row>
    <row r="2083">
      <c r="A2083" s="31"/>
      <c r="B2083" s="31"/>
      <c r="C2083" s="32"/>
      <c r="D2083" s="40"/>
      <c r="E2083" s="32"/>
      <c r="F2083" s="34"/>
      <c r="G2083" s="32"/>
      <c r="H2083" s="32"/>
      <c r="K2083" s="41"/>
      <c r="M2083" s="41"/>
      <c r="N2083" s="42"/>
    </row>
    <row r="2084">
      <c r="A2084" s="31"/>
      <c r="B2084" s="31"/>
      <c r="C2084" s="32"/>
      <c r="D2084" s="40"/>
      <c r="E2084" s="32"/>
      <c r="F2084" s="34"/>
      <c r="G2084" s="32"/>
      <c r="H2084" s="32"/>
      <c r="K2084" s="41"/>
      <c r="M2084" s="41"/>
      <c r="N2084" s="42"/>
    </row>
    <row r="2085">
      <c r="A2085" s="31"/>
      <c r="B2085" s="31"/>
      <c r="C2085" s="32"/>
      <c r="D2085" s="40"/>
      <c r="E2085" s="32"/>
      <c r="F2085" s="34"/>
      <c r="G2085" s="32"/>
      <c r="H2085" s="32"/>
      <c r="K2085" s="41"/>
      <c r="M2085" s="41"/>
      <c r="N2085" s="42"/>
    </row>
    <row r="2086">
      <c r="A2086" s="31"/>
      <c r="B2086" s="31"/>
      <c r="C2086" s="32"/>
      <c r="D2086" s="40"/>
      <c r="E2086" s="32"/>
      <c r="F2086" s="34"/>
      <c r="G2086" s="32"/>
      <c r="H2086" s="32"/>
      <c r="K2086" s="41"/>
      <c r="M2086" s="41"/>
      <c r="N2086" s="42"/>
    </row>
    <row r="2087">
      <c r="A2087" s="31"/>
      <c r="B2087" s="31"/>
      <c r="C2087" s="32"/>
      <c r="D2087" s="40"/>
      <c r="E2087" s="32"/>
      <c r="F2087" s="34"/>
      <c r="G2087" s="32"/>
      <c r="H2087" s="32"/>
      <c r="K2087" s="41"/>
      <c r="M2087" s="41"/>
      <c r="N2087" s="42"/>
    </row>
    <row r="2088">
      <c r="A2088" s="31"/>
      <c r="B2088" s="31"/>
      <c r="C2088" s="32"/>
      <c r="D2088" s="40"/>
      <c r="E2088" s="32"/>
      <c r="F2088" s="34"/>
      <c r="G2088" s="32"/>
      <c r="H2088" s="32"/>
      <c r="K2088" s="41"/>
      <c r="M2088" s="41"/>
      <c r="N2088" s="42"/>
    </row>
    <row r="2089">
      <c r="A2089" s="31"/>
      <c r="B2089" s="31"/>
      <c r="C2089" s="32"/>
      <c r="D2089" s="40"/>
      <c r="E2089" s="32"/>
      <c r="F2089" s="34"/>
      <c r="G2089" s="32"/>
      <c r="H2089" s="32"/>
      <c r="K2089" s="41"/>
      <c r="M2089" s="41"/>
      <c r="N2089" s="42"/>
    </row>
    <row r="2090">
      <c r="A2090" s="31"/>
      <c r="B2090" s="31"/>
      <c r="C2090" s="32"/>
      <c r="D2090" s="40"/>
      <c r="E2090" s="32"/>
      <c r="F2090" s="34"/>
      <c r="G2090" s="32"/>
      <c r="H2090" s="32"/>
      <c r="K2090" s="41"/>
      <c r="M2090" s="41"/>
      <c r="N2090" s="42"/>
    </row>
    <row r="2091">
      <c r="A2091" s="31"/>
      <c r="B2091" s="31"/>
      <c r="C2091" s="32"/>
      <c r="D2091" s="40"/>
      <c r="E2091" s="32"/>
      <c r="F2091" s="34"/>
      <c r="G2091" s="32"/>
      <c r="H2091" s="32"/>
      <c r="K2091" s="41"/>
      <c r="M2091" s="41"/>
      <c r="N2091" s="42"/>
    </row>
    <row r="2092">
      <c r="A2092" s="31"/>
      <c r="B2092" s="31"/>
      <c r="C2092" s="32"/>
      <c r="D2092" s="40"/>
      <c r="E2092" s="32"/>
      <c r="F2092" s="34"/>
      <c r="G2092" s="32"/>
      <c r="H2092" s="32"/>
      <c r="K2092" s="41"/>
      <c r="M2092" s="41"/>
      <c r="N2092" s="42"/>
    </row>
    <row r="2093">
      <c r="A2093" s="31"/>
      <c r="B2093" s="31"/>
      <c r="C2093" s="32"/>
      <c r="D2093" s="40"/>
      <c r="E2093" s="32"/>
      <c r="F2093" s="34"/>
      <c r="G2093" s="32"/>
      <c r="H2093" s="32"/>
      <c r="K2093" s="41"/>
      <c r="M2093" s="41"/>
      <c r="N2093" s="42"/>
    </row>
    <row r="2094">
      <c r="A2094" s="31"/>
      <c r="B2094" s="31"/>
      <c r="C2094" s="32"/>
      <c r="D2094" s="40"/>
      <c r="E2094" s="32"/>
      <c r="F2094" s="34"/>
      <c r="G2094" s="32"/>
      <c r="H2094" s="32"/>
      <c r="K2094" s="41"/>
      <c r="M2094" s="41"/>
      <c r="N2094" s="42"/>
    </row>
    <row r="2095">
      <c r="A2095" s="31"/>
      <c r="B2095" s="31"/>
      <c r="C2095" s="32"/>
      <c r="D2095" s="40"/>
      <c r="E2095" s="32"/>
      <c r="F2095" s="34"/>
      <c r="G2095" s="32"/>
      <c r="H2095" s="32"/>
      <c r="K2095" s="41"/>
      <c r="M2095" s="41"/>
      <c r="N2095" s="42"/>
    </row>
    <row r="2096">
      <c r="A2096" s="31"/>
      <c r="B2096" s="31"/>
      <c r="C2096" s="32"/>
      <c r="D2096" s="40"/>
      <c r="E2096" s="32"/>
      <c r="F2096" s="34"/>
      <c r="G2096" s="32"/>
      <c r="H2096" s="32"/>
      <c r="K2096" s="41"/>
      <c r="M2096" s="41"/>
      <c r="N2096" s="42"/>
    </row>
    <row r="2097">
      <c r="A2097" s="31"/>
      <c r="B2097" s="31"/>
      <c r="C2097" s="32"/>
      <c r="D2097" s="40"/>
      <c r="E2097" s="32"/>
      <c r="F2097" s="34"/>
      <c r="G2097" s="32"/>
      <c r="H2097" s="32"/>
      <c r="K2097" s="41"/>
      <c r="M2097" s="41"/>
      <c r="N2097" s="42"/>
    </row>
    <row r="2098">
      <c r="A2098" s="31"/>
      <c r="B2098" s="31"/>
      <c r="C2098" s="32"/>
      <c r="D2098" s="40"/>
      <c r="E2098" s="32"/>
      <c r="F2098" s="34"/>
      <c r="G2098" s="32"/>
      <c r="H2098" s="32"/>
      <c r="K2098" s="41"/>
      <c r="M2098" s="41"/>
      <c r="N2098" s="42"/>
    </row>
    <row r="2099">
      <c r="A2099" s="31"/>
      <c r="B2099" s="31"/>
      <c r="C2099" s="32"/>
      <c r="D2099" s="40"/>
      <c r="E2099" s="32"/>
      <c r="F2099" s="34"/>
      <c r="G2099" s="32"/>
      <c r="H2099" s="32"/>
      <c r="K2099" s="41"/>
      <c r="M2099" s="41"/>
      <c r="N2099" s="42"/>
    </row>
    <row r="2100">
      <c r="A2100" s="31"/>
      <c r="B2100" s="31"/>
      <c r="C2100" s="32"/>
      <c r="D2100" s="40"/>
      <c r="E2100" s="32"/>
      <c r="F2100" s="34"/>
      <c r="G2100" s="32"/>
      <c r="H2100" s="32"/>
      <c r="K2100" s="41"/>
      <c r="M2100" s="41"/>
      <c r="N2100" s="42"/>
    </row>
    <row r="2101">
      <c r="A2101" s="31"/>
      <c r="B2101" s="31"/>
      <c r="C2101" s="32"/>
      <c r="D2101" s="40"/>
      <c r="E2101" s="32"/>
      <c r="F2101" s="34"/>
      <c r="G2101" s="32"/>
      <c r="H2101" s="32"/>
      <c r="K2101" s="41"/>
      <c r="M2101" s="41"/>
      <c r="N2101" s="42"/>
    </row>
    <row r="2102">
      <c r="A2102" s="31"/>
      <c r="B2102" s="31"/>
      <c r="C2102" s="32"/>
      <c r="D2102" s="40"/>
      <c r="E2102" s="32"/>
      <c r="F2102" s="34"/>
      <c r="G2102" s="32"/>
      <c r="H2102" s="32"/>
      <c r="K2102" s="41"/>
      <c r="M2102" s="41"/>
      <c r="N2102" s="42"/>
    </row>
    <row r="2103">
      <c r="A2103" s="31"/>
      <c r="B2103" s="31"/>
      <c r="C2103" s="32"/>
      <c r="D2103" s="40"/>
      <c r="E2103" s="32"/>
      <c r="F2103" s="34"/>
      <c r="G2103" s="32"/>
      <c r="H2103" s="32"/>
      <c r="K2103" s="41"/>
      <c r="M2103" s="41"/>
      <c r="N2103" s="42"/>
    </row>
    <row r="2104">
      <c r="A2104" s="31"/>
      <c r="B2104" s="31"/>
      <c r="C2104" s="32"/>
      <c r="D2104" s="40"/>
      <c r="E2104" s="32"/>
      <c r="F2104" s="34"/>
      <c r="G2104" s="32"/>
      <c r="H2104" s="32"/>
      <c r="K2104" s="41"/>
      <c r="M2104" s="41"/>
      <c r="N2104" s="42"/>
    </row>
    <row r="2105">
      <c r="A2105" s="31"/>
      <c r="B2105" s="31"/>
      <c r="C2105" s="32"/>
      <c r="D2105" s="40"/>
      <c r="E2105" s="32"/>
      <c r="F2105" s="34"/>
      <c r="G2105" s="32"/>
      <c r="H2105" s="32"/>
      <c r="K2105" s="41"/>
      <c r="M2105" s="41"/>
      <c r="N2105" s="42"/>
    </row>
    <row r="2106">
      <c r="A2106" s="31"/>
      <c r="B2106" s="31"/>
      <c r="C2106" s="32"/>
      <c r="D2106" s="40"/>
      <c r="E2106" s="32"/>
      <c r="F2106" s="34"/>
      <c r="G2106" s="32"/>
      <c r="H2106" s="32"/>
      <c r="K2106" s="41"/>
      <c r="M2106" s="41"/>
      <c r="N2106" s="42"/>
    </row>
    <row r="2107">
      <c r="A2107" s="31"/>
      <c r="B2107" s="31"/>
      <c r="C2107" s="32"/>
      <c r="D2107" s="40"/>
      <c r="E2107" s="32"/>
      <c r="F2107" s="34"/>
      <c r="G2107" s="32"/>
      <c r="H2107" s="32"/>
      <c r="K2107" s="41"/>
      <c r="M2107" s="41"/>
      <c r="N2107" s="42"/>
    </row>
    <row r="2108">
      <c r="A2108" s="31"/>
      <c r="B2108" s="31"/>
      <c r="C2108" s="32"/>
      <c r="D2108" s="40"/>
      <c r="E2108" s="32"/>
      <c r="F2108" s="34"/>
      <c r="G2108" s="32"/>
      <c r="H2108" s="32"/>
      <c r="K2108" s="41"/>
      <c r="M2108" s="41"/>
      <c r="N2108" s="42"/>
    </row>
    <row r="2109">
      <c r="A2109" s="31"/>
      <c r="B2109" s="31"/>
      <c r="C2109" s="32"/>
      <c r="D2109" s="40"/>
      <c r="E2109" s="32"/>
      <c r="F2109" s="34"/>
      <c r="G2109" s="32"/>
      <c r="H2109" s="32"/>
      <c r="K2109" s="41"/>
      <c r="M2109" s="41"/>
      <c r="N2109" s="42"/>
    </row>
    <row r="2110">
      <c r="A2110" s="31"/>
      <c r="B2110" s="31"/>
      <c r="C2110" s="32"/>
      <c r="D2110" s="40"/>
      <c r="E2110" s="32"/>
      <c r="F2110" s="34"/>
      <c r="G2110" s="32"/>
      <c r="H2110" s="32"/>
      <c r="K2110" s="41"/>
      <c r="M2110" s="41"/>
      <c r="N2110" s="42"/>
    </row>
    <row r="2111">
      <c r="A2111" s="31"/>
      <c r="B2111" s="31"/>
      <c r="C2111" s="32"/>
      <c r="D2111" s="40"/>
      <c r="E2111" s="32"/>
      <c r="F2111" s="34"/>
      <c r="G2111" s="32"/>
      <c r="H2111" s="32"/>
      <c r="K2111" s="41"/>
      <c r="M2111" s="41"/>
      <c r="N2111" s="42"/>
    </row>
    <row r="2112">
      <c r="A2112" s="31"/>
      <c r="B2112" s="31"/>
      <c r="C2112" s="32"/>
      <c r="D2112" s="40"/>
      <c r="E2112" s="32"/>
      <c r="F2112" s="34"/>
      <c r="G2112" s="32"/>
      <c r="H2112" s="32"/>
      <c r="K2112" s="41"/>
      <c r="M2112" s="41"/>
      <c r="N2112" s="42"/>
    </row>
    <row r="2113">
      <c r="A2113" s="31"/>
      <c r="B2113" s="31"/>
      <c r="C2113" s="32"/>
      <c r="D2113" s="40"/>
      <c r="E2113" s="32"/>
      <c r="F2113" s="34"/>
      <c r="G2113" s="32"/>
      <c r="H2113" s="32"/>
      <c r="K2113" s="41"/>
      <c r="M2113" s="41"/>
      <c r="N2113" s="42"/>
    </row>
    <row r="2114">
      <c r="A2114" s="31"/>
      <c r="B2114" s="31"/>
      <c r="C2114" s="32"/>
      <c r="D2114" s="40"/>
      <c r="E2114" s="32"/>
      <c r="F2114" s="34"/>
      <c r="G2114" s="32"/>
      <c r="H2114" s="32"/>
      <c r="K2114" s="41"/>
      <c r="M2114" s="41"/>
      <c r="N2114" s="42"/>
    </row>
    <row r="2115">
      <c r="A2115" s="31"/>
      <c r="B2115" s="31"/>
      <c r="C2115" s="32"/>
      <c r="D2115" s="40"/>
      <c r="E2115" s="32"/>
      <c r="F2115" s="34"/>
      <c r="G2115" s="32"/>
      <c r="H2115" s="32"/>
      <c r="K2115" s="41"/>
      <c r="M2115" s="41"/>
      <c r="N2115" s="42"/>
    </row>
    <row r="2116">
      <c r="A2116" s="31"/>
      <c r="B2116" s="31"/>
      <c r="C2116" s="32"/>
      <c r="D2116" s="40"/>
      <c r="E2116" s="32"/>
      <c r="F2116" s="34"/>
      <c r="G2116" s="32"/>
      <c r="H2116" s="32"/>
      <c r="K2116" s="41"/>
      <c r="M2116" s="41"/>
      <c r="N2116" s="42"/>
    </row>
    <row r="2117">
      <c r="A2117" s="31"/>
      <c r="B2117" s="31"/>
      <c r="C2117" s="32"/>
      <c r="D2117" s="40"/>
      <c r="E2117" s="32"/>
      <c r="F2117" s="34"/>
      <c r="G2117" s="32"/>
      <c r="H2117" s="32"/>
      <c r="K2117" s="41"/>
      <c r="M2117" s="41"/>
      <c r="N2117" s="42"/>
    </row>
    <row r="2118">
      <c r="A2118" s="31"/>
      <c r="B2118" s="31"/>
      <c r="C2118" s="32"/>
      <c r="D2118" s="40"/>
      <c r="E2118" s="32"/>
      <c r="F2118" s="34"/>
      <c r="G2118" s="32"/>
      <c r="H2118" s="32"/>
      <c r="K2118" s="41"/>
      <c r="M2118" s="41"/>
      <c r="N2118" s="42"/>
    </row>
    <row r="2119">
      <c r="A2119" s="31"/>
      <c r="B2119" s="31"/>
      <c r="C2119" s="32"/>
      <c r="D2119" s="40"/>
      <c r="E2119" s="32"/>
      <c r="F2119" s="34"/>
      <c r="G2119" s="32"/>
      <c r="H2119" s="32"/>
      <c r="K2119" s="41"/>
      <c r="M2119" s="41"/>
      <c r="N2119" s="42"/>
    </row>
    <row r="2120">
      <c r="A2120" s="31"/>
      <c r="B2120" s="31"/>
      <c r="C2120" s="32"/>
      <c r="D2120" s="40"/>
      <c r="E2120" s="32"/>
      <c r="F2120" s="34"/>
      <c r="G2120" s="32"/>
      <c r="H2120" s="32"/>
      <c r="K2120" s="41"/>
      <c r="M2120" s="41"/>
      <c r="N2120" s="42"/>
    </row>
    <row r="2121">
      <c r="A2121" s="31"/>
      <c r="B2121" s="31"/>
      <c r="C2121" s="32"/>
      <c r="D2121" s="40"/>
      <c r="E2121" s="32"/>
      <c r="F2121" s="34"/>
      <c r="G2121" s="32"/>
      <c r="H2121" s="32"/>
      <c r="K2121" s="41"/>
      <c r="M2121" s="41"/>
      <c r="N2121" s="42"/>
    </row>
    <row r="2122">
      <c r="A2122" s="31"/>
      <c r="B2122" s="31"/>
      <c r="C2122" s="32"/>
      <c r="D2122" s="40"/>
      <c r="E2122" s="32"/>
      <c r="F2122" s="34"/>
      <c r="G2122" s="32"/>
      <c r="H2122" s="32"/>
      <c r="K2122" s="41"/>
      <c r="M2122" s="41"/>
      <c r="N2122" s="42"/>
    </row>
    <row r="2123">
      <c r="A2123" s="31"/>
      <c r="B2123" s="31"/>
      <c r="C2123" s="32"/>
      <c r="D2123" s="40"/>
      <c r="E2123" s="32"/>
      <c r="F2123" s="34"/>
      <c r="G2123" s="32"/>
      <c r="H2123" s="32"/>
      <c r="K2123" s="41"/>
      <c r="M2123" s="41"/>
      <c r="N2123" s="42"/>
    </row>
    <row r="2124">
      <c r="A2124" s="31"/>
      <c r="B2124" s="31"/>
      <c r="C2124" s="32"/>
      <c r="D2124" s="40"/>
      <c r="E2124" s="32"/>
      <c r="F2124" s="34"/>
      <c r="G2124" s="32"/>
      <c r="H2124" s="32"/>
      <c r="K2124" s="41"/>
      <c r="M2124" s="41"/>
      <c r="N2124" s="42"/>
    </row>
    <row r="2125">
      <c r="A2125" s="31"/>
      <c r="B2125" s="31"/>
      <c r="C2125" s="32"/>
      <c r="D2125" s="40"/>
      <c r="E2125" s="32"/>
      <c r="F2125" s="34"/>
      <c r="G2125" s="32"/>
      <c r="H2125" s="32"/>
      <c r="K2125" s="41"/>
      <c r="M2125" s="41"/>
      <c r="N2125" s="42"/>
    </row>
    <row r="2126">
      <c r="A2126" s="31"/>
      <c r="B2126" s="31"/>
      <c r="C2126" s="32"/>
      <c r="D2126" s="40"/>
      <c r="E2126" s="32"/>
      <c r="F2126" s="34"/>
      <c r="G2126" s="32"/>
      <c r="H2126" s="32"/>
      <c r="K2126" s="41"/>
      <c r="M2126" s="41"/>
      <c r="N2126" s="42"/>
    </row>
    <row r="2127">
      <c r="A2127" s="31"/>
      <c r="B2127" s="31"/>
      <c r="C2127" s="32"/>
      <c r="D2127" s="40"/>
      <c r="E2127" s="32"/>
      <c r="F2127" s="34"/>
      <c r="G2127" s="32"/>
      <c r="H2127" s="32"/>
      <c r="K2127" s="41"/>
      <c r="M2127" s="41"/>
      <c r="N2127" s="42"/>
    </row>
    <row r="2128">
      <c r="A2128" s="31"/>
      <c r="B2128" s="31"/>
      <c r="C2128" s="32"/>
      <c r="D2128" s="40"/>
      <c r="E2128" s="32"/>
      <c r="F2128" s="34"/>
      <c r="G2128" s="32"/>
      <c r="H2128" s="32"/>
      <c r="K2128" s="41"/>
      <c r="M2128" s="41"/>
      <c r="N2128" s="42"/>
    </row>
    <row r="2129">
      <c r="A2129" s="31"/>
      <c r="B2129" s="31"/>
      <c r="C2129" s="32"/>
      <c r="D2129" s="40"/>
      <c r="E2129" s="32"/>
      <c r="F2129" s="34"/>
      <c r="G2129" s="32"/>
      <c r="H2129" s="32"/>
      <c r="K2129" s="41"/>
      <c r="M2129" s="41"/>
      <c r="N2129" s="42"/>
    </row>
    <row r="2130">
      <c r="A2130" s="31"/>
      <c r="B2130" s="31"/>
      <c r="C2130" s="32"/>
      <c r="D2130" s="40"/>
      <c r="E2130" s="32"/>
      <c r="F2130" s="34"/>
      <c r="G2130" s="32"/>
      <c r="H2130" s="32"/>
      <c r="K2130" s="41"/>
      <c r="M2130" s="41"/>
      <c r="N2130" s="42"/>
    </row>
    <row r="2131">
      <c r="A2131" s="31"/>
      <c r="B2131" s="31"/>
      <c r="C2131" s="32"/>
      <c r="D2131" s="40"/>
      <c r="E2131" s="32"/>
      <c r="F2131" s="34"/>
      <c r="G2131" s="32"/>
      <c r="H2131" s="32"/>
      <c r="K2131" s="41"/>
      <c r="M2131" s="41"/>
      <c r="N2131" s="42"/>
    </row>
    <row r="2132">
      <c r="A2132" s="31"/>
      <c r="B2132" s="31"/>
      <c r="C2132" s="32"/>
      <c r="D2132" s="40"/>
      <c r="E2132" s="32"/>
      <c r="F2132" s="34"/>
      <c r="G2132" s="32"/>
      <c r="H2132" s="32"/>
      <c r="K2132" s="41"/>
      <c r="M2132" s="41"/>
      <c r="N2132" s="42"/>
    </row>
    <row r="2133">
      <c r="A2133" s="31"/>
      <c r="B2133" s="31"/>
      <c r="C2133" s="32"/>
      <c r="D2133" s="40"/>
      <c r="E2133" s="32"/>
      <c r="F2133" s="34"/>
      <c r="G2133" s="32"/>
      <c r="H2133" s="32"/>
      <c r="K2133" s="41"/>
      <c r="M2133" s="41"/>
      <c r="N2133" s="42"/>
    </row>
    <row r="2134">
      <c r="A2134" s="31"/>
      <c r="B2134" s="31"/>
      <c r="C2134" s="32"/>
      <c r="D2134" s="40"/>
      <c r="E2134" s="32"/>
      <c r="F2134" s="34"/>
      <c r="G2134" s="32"/>
      <c r="H2134" s="32"/>
      <c r="K2134" s="41"/>
      <c r="M2134" s="41"/>
      <c r="N2134" s="42"/>
    </row>
    <row r="2135">
      <c r="A2135" s="31"/>
      <c r="B2135" s="31"/>
      <c r="C2135" s="32"/>
      <c r="D2135" s="40"/>
      <c r="E2135" s="32"/>
      <c r="F2135" s="34"/>
      <c r="G2135" s="32"/>
      <c r="H2135" s="32"/>
      <c r="K2135" s="41"/>
      <c r="M2135" s="41"/>
      <c r="N2135" s="42"/>
    </row>
    <row r="2136">
      <c r="A2136" s="31"/>
      <c r="B2136" s="31"/>
      <c r="C2136" s="32"/>
      <c r="D2136" s="40"/>
      <c r="E2136" s="32"/>
      <c r="F2136" s="34"/>
      <c r="G2136" s="32"/>
      <c r="H2136" s="32"/>
      <c r="K2136" s="41"/>
      <c r="M2136" s="41"/>
      <c r="N2136" s="42"/>
    </row>
    <row r="2137">
      <c r="A2137" s="31"/>
      <c r="B2137" s="31"/>
      <c r="C2137" s="32"/>
      <c r="D2137" s="40"/>
      <c r="E2137" s="32"/>
      <c r="F2137" s="34"/>
      <c r="G2137" s="32"/>
      <c r="H2137" s="32"/>
      <c r="K2137" s="41"/>
      <c r="M2137" s="41"/>
      <c r="N2137" s="42"/>
    </row>
    <row r="2138">
      <c r="A2138" s="31"/>
      <c r="B2138" s="31"/>
      <c r="C2138" s="32"/>
      <c r="D2138" s="40"/>
      <c r="E2138" s="32"/>
      <c r="F2138" s="34"/>
      <c r="G2138" s="32"/>
      <c r="H2138" s="32"/>
      <c r="K2138" s="41"/>
      <c r="M2138" s="41"/>
      <c r="N2138" s="42"/>
    </row>
    <row r="2139">
      <c r="A2139" s="31"/>
      <c r="B2139" s="31"/>
      <c r="C2139" s="32"/>
      <c r="D2139" s="40"/>
      <c r="E2139" s="32"/>
      <c r="F2139" s="34"/>
      <c r="G2139" s="32"/>
      <c r="H2139" s="32"/>
      <c r="K2139" s="41"/>
      <c r="M2139" s="41"/>
      <c r="N2139" s="42"/>
    </row>
    <row r="2140">
      <c r="A2140" s="31"/>
      <c r="B2140" s="31"/>
      <c r="C2140" s="32"/>
      <c r="D2140" s="40"/>
      <c r="E2140" s="32"/>
      <c r="F2140" s="34"/>
      <c r="G2140" s="32"/>
      <c r="H2140" s="32"/>
      <c r="K2140" s="41"/>
      <c r="M2140" s="41"/>
      <c r="N2140" s="42"/>
    </row>
    <row r="2141">
      <c r="A2141" s="31"/>
      <c r="B2141" s="31"/>
      <c r="C2141" s="32"/>
      <c r="D2141" s="40"/>
      <c r="E2141" s="32"/>
      <c r="F2141" s="34"/>
      <c r="G2141" s="32"/>
      <c r="H2141" s="32"/>
      <c r="K2141" s="41"/>
      <c r="M2141" s="41"/>
      <c r="N2141" s="42"/>
    </row>
    <row r="2142">
      <c r="A2142" s="31"/>
      <c r="B2142" s="31"/>
      <c r="C2142" s="32"/>
      <c r="D2142" s="40"/>
      <c r="E2142" s="32"/>
      <c r="F2142" s="34"/>
      <c r="G2142" s="32"/>
      <c r="H2142" s="32"/>
      <c r="K2142" s="41"/>
      <c r="M2142" s="41"/>
      <c r="N2142" s="42"/>
    </row>
    <row r="2143">
      <c r="A2143" s="31"/>
      <c r="B2143" s="31"/>
      <c r="C2143" s="32"/>
      <c r="D2143" s="40"/>
      <c r="E2143" s="32"/>
      <c r="F2143" s="34"/>
      <c r="G2143" s="32"/>
      <c r="H2143" s="32"/>
      <c r="K2143" s="41"/>
      <c r="M2143" s="41"/>
      <c r="N2143" s="42"/>
    </row>
    <row r="2144">
      <c r="A2144" s="31"/>
      <c r="B2144" s="31"/>
      <c r="C2144" s="32"/>
      <c r="D2144" s="40"/>
      <c r="E2144" s="32"/>
      <c r="F2144" s="34"/>
      <c r="G2144" s="32"/>
      <c r="H2144" s="32"/>
      <c r="K2144" s="41"/>
      <c r="M2144" s="41"/>
      <c r="N2144" s="42"/>
    </row>
    <row r="2145">
      <c r="A2145" s="31"/>
      <c r="B2145" s="31"/>
      <c r="C2145" s="32"/>
      <c r="D2145" s="40"/>
      <c r="E2145" s="32"/>
      <c r="F2145" s="34"/>
      <c r="G2145" s="32"/>
      <c r="H2145" s="32"/>
      <c r="K2145" s="41"/>
      <c r="M2145" s="41"/>
      <c r="N2145" s="42"/>
    </row>
    <row r="2146">
      <c r="A2146" s="31"/>
      <c r="B2146" s="31"/>
      <c r="C2146" s="32"/>
      <c r="D2146" s="40"/>
      <c r="E2146" s="32"/>
      <c r="F2146" s="34"/>
      <c r="G2146" s="32"/>
      <c r="H2146" s="32"/>
      <c r="K2146" s="41"/>
      <c r="M2146" s="41"/>
      <c r="N2146" s="42"/>
    </row>
    <row r="2147">
      <c r="A2147" s="31"/>
      <c r="B2147" s="31"/>
      <c r="C2147" s="32"/>
      <c r="D2147" s="40"/>
      <c r="E2147" s="32"/>
      <c r="F2147" s="34"/>
      <c r="G2147" s="32"/>
      <c r="H2147" s="32"/>
      <c r="K2147" s="41"/>
      <c r="M2147" s="41"/>
      <c r="N2147" s="42"/>
    </row>
    <row r="2148">
      <c r="A2148" s="31"/>
      <c r="B2148" s="31"/>
      <c r="C2148" s="32"/>
      <c r="D2148" s="40"/>
      <c r="E2148" s="32"/>
      <c r="F2148" s="34"/>
      <c r="G2148" s="32"/>
      <c r="H2148" s="32"/>
      <c r="K2148" s="41"/>
      <c r="M2148" s="41"/>
      <c r="N2148" s="42"/>
    </row>
    <row r="2149">
      <c r="A2149" s="31"/>
      <c r="B2149" s="31"/>
      <c r="C2149" s="32"/>
      <c r="D2149" s="40"/>
      <c r="E2149" s="32"/>
      <c r="F2149" s="34"/>
      <c r="G2149" s="32"/>
      <c r="H2149" s="32"/>
      <c r="K2149" s="41"/>
      <c r="M2149" s="41"/>
      <c r="N2149" s="42"/>
    </row>
    <row r="2150">
      <c r="A2150" s="31"/>
      <c r="B2150" s="31"/>
      <c r="C2150" s="32"/>
      <c r="D2150" s="40"/>
      <c r="E2150" s="32"/>
      <c r="F2150" s="34"/>
      <c r="G2150" s="32"/>
      <c r="H2150" s="32"/>
      <c r="K2150" s="41"/>
      <c r="M2150" s="41"/>
      <c r="N2150" s="42"/>
    </row>
    <row r="2151">
      <c r="A2151" s="31"/>
      <c r="B2151" s="31"/>
      <c r="C2151" s="32"/>
      <c r="D2151" s="40"/>
      <c r="E2151" s="32"/>
      <c r="F2151" s="34"/>
      <c r="G2151" s="32"/>
      <c r="H2151" s="32"/>
      <c r="K2151" s="41"/>
      <c r="M2151" s="41"/>
      <c r="N2151" s="42"/>
    </row>
    <row r="2152">
      <c r="A2152" s="31"/>
      <c r="B2152" s="31"/>
      <c r="C2152" s="32"/>
      <c r="D2152" s="40"/>
      <c r="E2152" s="32"/>
      <c r="F2152" s="34"/>
      <c r="G2152" s="32"/>
      <c r="H2152" s="32"/>
      <c r="K2152" s="41"/>
      <c r="M2152" s="41"/>
      <c r="N2152" s="42"/>
    </row>
    <row r="2153">
      <c r="A2153" s="31"/>
      <c r="B2153" s="31"/>
      <c r="C2153" s="32"/>
      <c r="D2153" s="40"/>
      <c r="E2153" s="32"/>
      <c r="F2153" s="34"/>
      <c r="G2153" s="32"/>
      <c r="H2153" s="32"/>
      <c r="K2153" s="41"/>
      <c r="M2153" s="41"/>
      <c r="N2153" s="42"/>
    </row>
    <row r="2154">
      <c r="A2154" s="31"/>
      <c r="B2154" s="31"/>
      <c r="C2154" s="32"/>
      <c r="D2154" s="40"/>
      <c r="E2154" s="32"/>
      <c r="F2154" s="34"/>
      <c r="G2154" s="32"/>
      <c r="H2154" s="32"/>
      <c r="K2154" s="41"/>
      <c r="M2154" s="41"/>
      <c r="N2154" s="42"/>
    </row>
    <row r="2155">
      <c r="A2155" s="31"/>
      <c r="B2155" s="31"/>
      <c r="C2155" s="32"/>
      <c r="D2155" s="40"/>
      <c r="E2155" s="32"/>
      <c r="F2155" s="34"/>
      <c r="G2155" s="32"/>
      <c r="H2155" s="32"/>
      <c r="K2155" s="41"/>
      <c r="M2155" s="41"/>
      <c r="N2155" s="42"/>
    </row>
    <row r="2156">
      <c r="A2156" s="31"/>
      <c r="B2156" s="31"/>
      <c r="C2156" s="32"/>
      <c r="D2156" s="40"/>
      <c r="E2156" s="32"/>
      <c r="F2156" s="34"/>
      <c r="G2156" s="32"/>
      <c r="H2156" s="32"/>
      <c r="K2156" s="41"/>
      <c r="M2156" s="41"/>
      <c r="N2156" s="42"/>
    </row>
    <row r="2157">
      <c r="A2157" s="31"/>
      <c r="B2157" s="31"/>
      <c r="C2157" s="32"/>
      <c r="D2157" s="40"/>
      <c r="E2157" s="32"/>
      <c r="F2157" s="34"/>
      <c r="G2157" s="32"/>
      <c r="H2157" s="32"/>
      <c r="K2157" s="41"/>
      <c r="M2157" s="41"/>
      <c r="N2157" s="42"/>
    </row>
    <row r="2158">
      <c r="A2158" s="31"/>
      <c r="B2158" s="31"/>
      <c r="C2158" s="32"/>
      <c r="D2158" s="40"/>
      <c r="E2158" s="32"/>
      <c r="F2158" s="34"/>
      <c r="G2158" s="32"/>
      <c r="H2158" s="32"/>
      <c r="K2158" s="41"/>
      <c r="M2158" s="41"/>
      <c r="N2158" s="42"/>
    </row>
    <row r="2159">
      <c r="A2159" s="31"/>
      <c r="B2159" s="31"/>
      <c r="C2159" s="32"/>
      <c r="D2159" s="40"/>
      <c r="E2159" s="32"/>
      <c r="F2159" s="34"/>
      <c r="G2159" s="32"/>
      <c r="H2159" s="32"/>
      <c r="K2159" s="41"/>
      <c r="M2159" s="41"/>
      <c r="N2159" s="42"/>
    </row>
    <row r="2160">
      <c r="A2160" s="31"/>
      <c r="B2160" s="31"/>
      <c r="C2160" s="32"/>
      <c r="D2160" s="40"/>
      <c r="E2160" s="32"/>
      <c r="F2160" s="34"/>
      <c r="G2160" s="32"/>
      <c r="H2160" s="32"/>
      <c r="K2160" s="41"/>
      <c r="M2160" s="41"/>
      <c r="N2160" s="42"/>
    </row>
    <row r="2161">
      <c r="A2161" s="31"/>
      <c r="B2161" s="31"/>
      <c r="C2161" s="32"/>
      <c r="D2161" s="40"/>
      <c r="E2161" s="32"/>
      <c r="F2161" s="34"/>
      <c r="G2161" s="32"/>
      <c r="H2161" s="32"/>
      <c r="K2161" s="41"/>
      <c r="M2161" s="41"/>
      <c r="N2161" s="42"/>
    </row>
    <row r="2162">
      <c r="A2162" s="31"/>
      <c r="B2162" s="31"/>
      <c r="C2162" s="32"/>
      <c r="D2162" s="40"/>
      <c r="E2162" s="32"/>
      <c r="F2162" s="34"/>
      <c r="G2162" s="32"/>
      <c r="H2162" s="32"/>
      <c r="K2162" s="41"/>
      <c r="M2162" s="41"/>
      <c r="N2162" s="42"/>
    </row>
    <row r="2163">
      <c r="A2163" s="31"/>
      <c r="B2163" s="31"/>
      <c r="C2163" s="32"/>
      <c r="D2163" s="40"/>
      <c r="E2163" s="32"/>
      <c r="F2163" s="34"/>
      <c r="G2163" s="32"/>
      <c r="H2163" s="32"/>
      <c r="K2163" s="41"/>
      <c r="M2163" s="41"/>
      <c r="N2163" s="42"/>
    </row>
    <row r="2164">
      <c r="A2164" s="31"/>
      <c r="B2164" s="31"/>
      <c r="C2164" s="32"/>
      <c r="D2164" s="40"/>
      <c r="E2164" s="32"/>
      <c r="F2164" s="34"/>
      <c r="G2164" s="32"/>
      <c r="H2164" s="32"/>
      <c r="K2164" s="41"/>
      <c r="M2164" s="41"/>
      <c r="N2164" s="42"/>
    </row>
    <row r="2165">
      <c r="A2165" s="31"/>
      <c r="B2165" s="31"/>
      <c r="C2165" s="32"/>
      <c r="D2165" s="40"/>
      <c r="E2165" s="32"/>
      <c r="F2165" s="34"/>
      <c r="G2165" s="32"/>
      <c r="H2165" s="32"/>
      <c r="K2165" s="41"/>
      <c r="M2165" s="41"/>
      <c r="N2165" s="42"/>
    </row>
    <row r="2166">
      <c r="A2166" s="31"/>
      <c r="B2166" s="31"/>
      <c r="C2166" s="32"/>
      <c r="D2166" s="40"/>
      <c r="E2166" s="32"/>
      <c r="F2166" s="34"/>
      <c r="G2166" s="32"/>
      <c r="H2166" s="32"/>
      <c r="K2166" s="41"/>
      <c r="M2166" s="41"/>
      <c r="N2166" s="42"/>
    </row>
    <row r="2167">
      <c r="A2167" s="31"/>
      <c r="B2167" s="31"/>
      <c r="C2167" s="32"/>
      <c r="D2167" s="40"/>
      <c r="E2167" s="32"/>
      <c r="F2167" s="34"/>
      <c r="G2167" s="32"/>
      <c r="H2167" s="32"/>
      <c r="K2167" s="41"/>
      <c r="M2167" s="41"/>
      <c r="N2167" s="42"/>
    </row>
    <row r="2168">
      <c r="A2168" s="31"/>
      <c r="B2168" s="31"/>
      <c r="C2168" s="32"/>
      <c r="D2168" s="40"/>
      <c r="E2168" s="32"/>
      <c r="F2168" s="34"/>
      <c r="G2168" s="32"/>
      <c r="H2168" s="32"/>
      <c r="K2168" s="41"/>
      <c r="M2168" s="41"/>
      <c r="N2168" s="42"/>
    </row>
    <row r="2169">
      <c r="A2169" s="31"/>
      <c r="B2169" s="31"/>
      <c r="C2169" s="32"/>
      <c r="D2169" s="40"/>
      <c r="E2169" s="32"/>
      <c r="F2169" s="34"/>
      <c r="G2169" s="32"/>
      <c r="H2169" s="32"/>
      <c r="K2169" s="41"/>
      <c r="M2169" s="41"/>
      <c r="N2169" s="42"/>
    </row>
    <row r="2170">
      <c r="A2170" s="31"/>
      <c r="B2170" s="31"/>
      <c r="C2170" s="32"/>
      <c r="D2170" s="40"/>
      <c r="E2170" s="32"/>
      <c r="F2170" s="34"/>
      <c r="G2170" s="32"/>
      <c r="H2170" s="32"/>
      <c r="K2170" s="41"/>
      <c r="M2170" s="41"/>
      <c r="N2170" s="42"/>
    </row>
    <row r="2171">
      <c r="A2171" s="31"/>
      <c r="B2171" s="31"/>
      <c r="C2171" s="32"/>
      <c r="D2171" s="40"/>
      <c r="E2171" s="32"/>
      <c r="F2171" s="34"/>
      <c r="G2171" s="32"/>
      <c r="H2171" s="32"/>
      <c r="K2171" s="41"/>
      <c r="M2171" s="41"/>
      <c r="N2171" s="42"/>
    </row>
    <row r="2172">
      <c r="A2172" s="31"/>
      <c r="B2172" s="31"/>
      <c r="C2172" s="32"/>
      <c r="D2172" s="40"/>
      <c r="E2172" s="32"/>
      <c r="F2172" s="34"/>
      <c r="G2172" s="32"/>
      <c r="H2172" s="32"/>
      <c r="K2172" s="41"/>
      <c r="M2172" s="41"/>
      <c r="N2172" s="42"/>
    </row>
    <row r="2173">
      <c r="A2173" s="31"/>
      <c r="B2173" s="31"/>
      <c r="C2173" s="32"/>
      <c r="D2173" s="40"/>
      <c r="E2173" s="32"/>
      <c r="F2173" s="34"/>
      <c r="G2173" s="32"/>
      <c r="H2173" s="32"/>
      <c r="K2173" s="41"/>
      <c r="M2173" s="41"/>
      <c r="N2173" s="42"/>
    </row>
    <row r="2174">
      <c r="A2174" s="31"/>
      <c r="B2174" s="31"/>
      <c r="C2174" s="32"/>
      <c r="D2174" s="40"/>
      <c r="E2174" s="32"/>
      <c r="F2174" s="34"/>
      <c r="G2174" s="32"/>
      <c r="H2174" s="32"/>
      <c r="K2174" s="41"/>
      <c r="M2174" s="41"/>
      <c r="N2174" s="42"/>
    </row>
    <row r="2175">
      <c r="A2175" s="31"/>
      <c r="B2175" s="31"/>
      <c r="C2175" s="32"/>
      <c r="D2175" s="40"/>
      <c r="E2175" s="32"/>
      <c r="F2175" s="34"/>
      <c r="G2175" s="32"/>
      <c r="H2175" s="32"/>
      <c r="K2175" s="41"/>
      <c r="M2175" s="41"/>
      <c r="N2175" s="42"/>
    </row>
    <row r="2176">
      <c r="A2176" s="31"/>
      <c r="B2176" s="31"/>
      <c r="C2176" s="32"/>
      <c r="D2176" s="40"/>
      <c r="E2176" s="32"/>
      <c r="F2176" s="34"/>
      <c r="G2176" s="32"/>
      <c r="H2176" s="32"/>
      <c r="K2176" s="41"/>
      <c r="M2176" s="41"/>
      <c r="N2176" s="42"/>
    </row>
    <row r="2177">
      <c r="A2177" s="31"/>
      <c r="B2177" s="31"/>
      <c r="C2177" s="32"/>
      <c r="D2177" s="40"/>
      <c r="E2177" s="32"/>
      <c r="F2177" s="34"/>
      <c r="G2177" s="32"/>
      <c r="H2177" s="32"/>
      <c r="K2177" s="41"/>
      <c r="M2177" s="41"/>
      <c r="N2177" s="42"/>
    </row>
    <row r="2178">
      <c r="A2178" s="31"/>
      <c r="B2178" s="31"/>
      <c r="C2178" s="32"/>
      <c r="D2178" s="40"/>
      <c r="E2178" s="32"/>
      <c r="F2178" s="34"/>
      <c r="G2178" s="32"/>
      <c r="H2178" s="32"/>
      <c r="K2178" s="41"/>
      <c r="M2178" s="41"/>
      <c r="N2178" s="42"/>
    </row>
    <row r="2179">
      <c r="A2179" s="31"/>
      <c r="B2179" s="31"/>
      <c r="C2179" s="32"/>
      <c r="D2179" s="40"/>
      <c r="E2179" s="32"/>
      <c r="F2179" s="34"/>
      <c r="G2179" s="32"/>
      <c r="H2179" s="32"/>
      <c r="K2179" s="41"/>
      <c r="M2179" s="41"/>
      <c r="N2179" s="42"/>
    </row>
    <row r="2180">
      <c r="A2180" s="31"/>
      <c r="B2180" s="31"/>
      <c r="C2180" s="32"/>
      <c r="D2180" s="40"/>
      <c r="E2180" s="32"/>
      <c r="F2180" s="34"/>
      <c r="G2180" s="32"/>
      <c r="H2180" s="32"/>
      <c r="K2180" s="41"/>
      <c r="M2180" s="41"/>
      <c r="N2180" s="42"/>
    </row>
    <row r="2181">
      <c r="A2181" s="31"/>
      <c r="B2181" s="31"/>
      <c r="C2181" s="32"/>
      <c r="D2181" s="40"/>
      <c r="E2181" s="32"/>
      <c r="F2181" s="34"/>
      <c r="G2181" s="32"/>
      <c r="H2181" s="32"/>
      <c r="K2181" s="41"/>
      <c r="M2181" s="41"/>
      <c r="N2181" s="42"/>
    </row>
    <row r="2182">
      <c r="A2182" s="31"/>
      <c r="B2182" s="31"/>
      <c r="C2182" s="32"/>
      <c r="D2182" s="40"/>
      <c r="E2182" s="32"/>
      <c r="F2182" s="34"/>
      <c r="G2182" s="32"/>
      <c r="H2182" s="32"/>
      <c r="K2182" s="41"/>
      <c r="M2182" s="41"/>
      <c r="N2182" s="42"/>
    </row>
    <row r="2183">
      <c r="A2183" s="31"/>
      <c r="B2183" s="31"/>
      <c r="C2183" s="32"/>
      <c r="D2183" s="40"/>
      <c r="E2183" s="32"/>
      <c r="F2183" s="34"/>
      <c r="G2183" s="32"/>
      <c r="H2183" s="32"/>
      <c r="K2183" s="41"/>
      <c r="M2183" s="41"/>
      <c r="N2183" s="42"/>
    </row>
    <row r="2184">
      <c r="A2184" s="31"/>
      <c r="B2184" s="31"/>
      <c r="C2184" s="32"/>
      <c r="D2184" s="40"/>
      <c r="E2184" s="32"/>
      <c r="F2184" s="34"/>
      <c r="G2184" s="32"/>
      <c r="H2184" s="32"/>
      <c r="K2184" s="41"/>
      <c r="M2184" s="41"/>
      <c r="N2184" s="42"/>
    </row>
    <row r="2185">
      <c r="A2185" s="31"/>
      <c r="B2185" s="31"/>
      <c r="C2185" s="32"/>
      <c r="D2185" s="40"/>
      <c r="E2185" s="32"/>
      <c r="F2185" s="34"/>
      <c r="G2185" s="32"/>
      <c r="H2185" s="32"/>
      <c r="K2185" s="41"/>
      <c r="M2185" s="41"/>
      <c r="N2185" s="42"/>
    </row>
    <row r="2186">
      <c r="A2186" s="31"/>
      <c r="B2186" s="31"/>
      <c r="C2186" s="32"/>
      <c r="D2186" s="40"/>
      <c r="E2186" s="32"/>
      <c r="F2186" s="34"/>
      <c r="G2186" s="32"/>
      <c r="H2186" s="32"/>
      <c r="K2186" s="41"/>
      <c r="M2186" s="41"/>
      <c r="N2186" s="42"/>
    </row>
    <row r="2187">
      <c r="A2187" s="31"/>
      <c r="B2187" s="31"/>
      <c r="C2187" s="32"/>
      <c r="D2187" s="40"/>
      <c r="E2187" s="32"/>
      <c r="F2187" s="34"/>
      <c r="G2187" s="32"/>
      <c r="H2187" s="32"/>
      <c r="K2187" s="41"/>
      <c r="M2187" s="41"/>
      <c r="N2187" s="42"/>
    </row>
    <row r="2188">
      <c r="A2188" s="31"/>
      <c r="B2188" s="31"/>
      <c r="C2188" s="32"/>
      <c r="D2188" s="40"/>
      <c r="E2188" s="32"/>
      <c r="F2188" s="34"/>
      <c r="G2188" s="32"/>
      <c r="H2188" s="32"/>
      <c r="K2188" s="41"/>
      <c r="M2188" s="41"/>
      <c r="N2188" s="42"/>
    </row>
    <row r="2189">
      <c r="A2189" s="31"/>
      <c r="B2189" s="31"/>
      <c r="C2189" s="32"/>
      <c r="D2189" s="40"/>
      <c r="E2189" s="32"/>
      <c r="F2189" s="34"/>
      <c r="G2189" s="32"/>
      <c r="H2189" s="32"/>
      <c r="K2189" s="41"/>
      <c r="M2189" s="41"/>
      <c r="N2189" s="42"/>
    </row>
    <row r="2190">
      <c r="A2190" s="31"/>
      <c r="B2190" s="31"/>
      <c r="C2190" s="32"/>
      <c r="D2190" s="40"/>
      <c r="E2190" s="32"/>
      <c r="F2190" s="34"/>
      <c r="G2190" s="32"/>
      <c r="H2190" s="32"/>
      <c r="K2190" s="41"/>
      <c r="M2190" s="41"/>
      <c r="N2190" s="42"/>
    </row>
    <row r="2191">
      <c r="A2191" s="31"/>
      <c r="B2191" s="31"/>
      <c r="C2191" s="32"/>
      <c r="D2191" s="40"/>
      <c r="E2191" s="32"/>
      <c r="F2191" s="34"/>
      <c r="G2191" s="32"/>
      <c r="H2191" s="32"/>
      <c r="K2191" s="41"/>
      <c r="M2191" s="41"/>
      <c r="N2191" s="42"/>
    </row>
    <row r="2192">
      <c r="A2192" s="31"/>
      <c r="B2192" s="31"/>
      <c r="C2192" s="32"/>
      <c r="D2192" s="40"/>
      <c r="E2192" s="32"/>
      <c r="F2192" s="34"/>
      <c r="G2192" s="32"/>
      <c r="H2192" s="32"/>
      <c r="K2192" s="41"/>
      <c r="M2192" s="41"/>
      <c r="N2192" s="42"/>
    </row>
    <row r="2193">
      <c r="A2193" s="31"/>
      <c r="B2193" s="31"/>
      <c r="C2193" s="32"/>
      <c r="D2193" s="40"/>
      <c r="E2193" s="32"/>
      <c r="F2193" s="34"/>
      <c r="G2193" s="32"/>
      <c r="H2193" s="32"/>
      <c r="K2193" s="41"/>
      <c r="M2193" s="41"/>
      <c r="N2193" s="42"/>
    </row>
    <row r="2194">
      <c r="A2194" s="31"/>
      <c r="B2194" s="31"/>
      <c r="C2194" s="32"/>
      <c r="D2194" s="40"/>
      <c r="E2194" s="32"/>
      <c r="F2194" s="34"/>
      <c r="G2194" s="32"/>
      <c r="H2194" s="32"/>
      <c r="K2194" s="41"/>
      <c r="M2194" s="41"/>
      <c r="N2194" s="42"/>
    </row>
    <row r="2195">
      <c r="A2195" s="31"/>
      <c r="B2195" s="31"/>
      <c r="C2195" s="32"/>
      <c r="D2195" s="40"/>
      <c r="E2195" s="32"/>
      <c r="F2195" s="34"/>
      <c r="G2195" s="32"/>
      <c r="H2195" s="32"/>
      <c r="K2195" s="41"/>
      <c r="M2195" s="41"/>
      <c r="N2195" s="42"/>
    </row>
    <row r="2196">
      <c r="A2196" s="31"/>
      <c r="B2196" s="31"/>
      <c r="C2196" s="32"/>
      <c r="D2196" s="40"/>
      <c r="E2196" s="32"/>
      <c r="F2196" s="34"/>
      <c r="G2196" s="32"/>
      <c r="H2196" s="32"/>
      <c r="K2196" s="41"/>
      <c r="M2196" s="41"/>
      <c r="N2196" s="42"/>
    </row>
    <row r="2197">
      <c r="A2197" s="31"/>
      <c r="B2197" s="31"/>
      <c r="C2197" s="32"/>
      <c r="D2197" s="40"/>
      <c r="E2197" s="32"/>
      <c r="F2197" s="34"/>
      <c r="G2197" s="32"/>
      <c r="H2197" s="32"/>
      <c r="K2197" s="41"/>
      <c r="M2197" s="41"/>
      <c r="N2197" s="42"/>
    </row>
    <row r="2198">
      <c r="A2198" s="31"/>
      <c r="B2198" s="31"/>
      <c r="C2198" s="32"/>
      <c r="D2198" s="40"/>
      <c r="E2198" s="32"/>
      <c r="F2198" s="34"/>
      <c r="G2198" s="32"/>
      <c r="H2198" s="32"/>
      <c r="K2198" s="41"/>
      <c r="M2198" s="41"/>
      <c r="N2198" s="42"/>
    </row>
    <row r="2199">
      <c r="A2199" s="31"/>
      <c r="B2199" s="31"/>
      <c r="C2199" s="32"/>
      <c r="D2199" s="40"/>
      <c r="E2199" s="32"/>
      <c r="F2199" s="34"/>
      <c r="G2199" s="32"/>
      <c r="H2199" s="32"/>
      <c r="K2199" s="41"/>
      <c r="M2199" s="41"/>
      <c r="N2199" s="42"/>
    </row>
    <row r="2200">
      <c r="A2200" s="31"/>
      <c r="B2200" s="31"/>
      <c r="C2200" s="32"/>
      <c r="D2200" s="40"/>
      <c r="E2200" s="32"/>
      <c r="F2200" s="34"/>
      <c r="G2200" s="32"/>
      <c r="H2200" s="32"/>
      <c r="K2200" s="41"/>
      <c r="M2200" s="41"/>
      <c r="N2200" s="42"/>
    </row>
    <row r="2201">
      <c r="A2201" s="31"/>
      <c r="B2201" s="31"/>
      <c r="C2201" s="32"/>
      <c r="D2201" s="40"/>
      <c r="E2201" s="32"/>
      <c r="F2201" s="34"/>
      <c r="G2201" s="32"/>
      <c r="H2201" s="32"/>
      <c r="K2201" s="41"/>
      <c r="M2201" s="41"/>
      <c r="N2201" s="42"/>
    </row>
    <row r="2202">
      <c r="A2202" s="31"/>
      <c r="B2202" s="31"/>
      <c r="C2202" s="32"/>
      <c r="D2202" s="40"/>
      <c r="E2202" s="32"/>
      <c r="F2202" s="34"/>
      <c r="G2202" s="32"/>
      <c r="H2202" s="32"/>
      <c r="K2202" s="41"/>
      <c r="M2202" s="41"/>
      <c r="N2202" s="42"/>
    </row>
    <row r="2203">
      <c r="A2203" s="31"/>
      <c r="B2203" s="31"/>
      <c r="C2203" s="32"/>
      <c r="D2203" s="40"/>
      <c r="E2203" s="32"/>
      <c r="F2203" s="34"/>
      <c r="G2203" s="32"/>
      <c r="H2203" s="32"/>
      <c r="K2203" s="41"/>
      <c r="M2203" s="41"/>
      <c r="N2203" s="42"/>
    </row>
    <row r="2204">
      <c r="A2204" s="31"/>
      <c r="B2204" s="31"/>
      <c r="C2204" s="32"/>
      <c r="D2204" s="40"/>
      <c r="E2204" s="32"/>
      <c r="F2204" s="34"/>
      <c r="G2204" s="32"/>
      <c r="H2204" s="32"/>
      <c r="K2204" s="41"/>
      <c r="M2204" s="41"/>
      <c r="N2204" s="42"/>
    </row>
    <row r="2205">
      <c r="A2205" s="31"/>
      <c r="B2205" s="31"/>
      <c r="C2205" s="32"/>
      <c r="D2205" s="40"/>
      <c r="E2205" s="32"/>
      <c r="F2205" s="34"/>
      <c r="G2205" s="32"/>
      <c r="H2205" s="32"/>
      <c r="K2205" s="41"/>
      <c r="M2205" s="41"/>
      <c r="N2205" s="42"/>
    </row>
    <row r="2206">
      <c r="A2206" s="31"/>
      <c r="B2206" s="31"/>
      <c r="C2206" s="32"/>
      <c r="D2206" s="40"/>
      <c r="E2206" s="32"/>
      <c r="F2206" s="34"/>
      <c r="G2206" s="32"/>
      <c r="H2206" s="32"/>
      <c r="K2206" s="41"/>
      <c r="M2206" s="41"/>
      <c r="N2206" s="42"/>
    </row>
    <row r="2207">
      <c r="A2207" s="31"/>
      <c r="B2207" s="31"/>
      <c r="C2207" s="32"/>
      <c r="D2207" s="40"/>
      <c r="E2207" s="32"/>
      <c r="F2207" s="34"/>
      <c r="G2207" s="32"/>
      <c r="H2207" s="32"/>
      <c r="K2207" s="41"/>
      <c r="M2207" s="41"/>
      <c r="N2207" s="42"/>
    </row>
    <row r="2208">
      <c r="A2208" s="31"/>
      <c r="B2208" s="31"/>
      <c r="C2208" s="32"/>
      <c r="D2208" s="40"/>
      <c r="E2208" s="32"/>
      <c r="F2208" s="34"/>
      <c r="G2208" s="32"/>
      <c r="H2208" s="32"/>
      <c r="K2208" s="41"/>
      <c r="M2208" s="41"/>
      <c r="N2208" s="42"/>
    </row>
    <row r="2209">
      <c r="A2209" s="31"/>
      <c r="B2209" s="31"/>
      <c r="C2209" s="32"/>
      <c r="D2209" s="40"/>
      <c r="E2209" s="32"/>
      <c r="F2209" s="34"/>
      <c r="G2209" s="32"/>
      <c r="H2209" s="32"/>
      <c r="K2209" s="41"/>
      <c r="M2209" s="41"/>
      <c r="N2209" s="42"/>
    </row>
    <row r="2210">
      <c r="A2210" s="31"/>
      <c r="B2210" s="31"/>
      <c r="C2210" s="32"/>
      <c r="D2210" s="40"/>
      <c r="E2210" s="32"/>
      <c r="F2210" s="34"/>
      <c r="G2210" s="32"/>
      <c r="H2210" s="32"/>
      <c r="K2210" s="41"/>
      <c r="M2210" s="41"/>
      <c r="N2210" s="42"/>
    </row>
    <row r="2211">
      <c r="A2211" s="31"/>
      <c r="B2211" s="31"/>
      <c r="C2211" s="32"/>
      <c r="D2211" s="40"/>
      <c r="E2211" s="32"/>
      <c r="F2211" s="34"/>
      <c r="G2211" s="32"/>
      <c r="H2211" s="32"/>
      <c r="K2211" s="41"/>
      <c r="M2211" s="41"/>
      <c r="N2211" s="42"/>
    </row>
    <row r="2212">
      <c r="A2212" s="31"/>
      <c r="B2212" s="31"/>
      <c r="C2212" s="32"/>
      <c r="D2212" s="40"/>
      <c r="E2212" s="32"/>
      <c r="F2212" s="34"/>
      <c r="G2212" s="32"/>
      <c r="H2212" s="32"/>
      <c r="K2212" s="41"/>
      <c r="M2212" s="41"/>
      <c r="N2212" s="42"/>
    </row>
    <row r="2213">
      <c r="A2213" s="31"/>
      <c r="B2213" s="31"/>
      <c r="C2213" s="32"/>
      <c r="D2213" s="40"/>
      <c r="E2213" s="32"/>
      <c r="F2213" s="34"/>
      <c r="G2213" s="32"/>
      <c r="H2213" s="32"/>
      <c r="K2213" s="41"/>
      <c r="M2213" s="41"/>
      <c r="N2213" s="42"/>
    </row>
    <row r="2214">
      <c r="A2214" s="31"/>
      <c r="B2214" s="31"/>
      <c r="C2214" s="32"/>
      <c r="D2214" s="40"/>
      <c r="E2214" s="32"/>
      <c r="F2214" s="34"/>
      <c r="G2214" s="32"/>
      <c r="H2214" s="32"/>
      <c r="K2214" s="41"/>
      <c r="M2214" s="41"/>
      <c r="N2214" s="42"/>
    </row>
    <row r="2215">
      <c r="A2215" s="31"/>
      <c r="B2215" s="31"/>
      <c r="C2215" s="32"/>
      <c r="D2215" s="40"/>
      <c r="E2215" s="32"/>
      <c r="F2215" s="34"/>
      <c r="G2215" s="32"/>
      <c r="H2215" s="32"/>
      <c r="K2215" s="41"/>
      <c r="M2215" s="41"/>
      <c r="N2215" s="42"/>
    </row>
    <row r="2216">
      <c r="A2216" s="31"/>
      <c r="B2216" s="31"/>
      <c r="C2216" s="32"/>
      <c r="D2216" s="40"/>
      <c r="E2216" s="32"/>
      <c r="F2216" s="34"/>
      <c r="G2216" s="32"/>
      <c r="H2216" s="32"/>
      <c r="K2216" s="41"/>
      <c r="M2216" s="41"/>
      <c r="N2216" s="42"/>
    </row>
    <row r="2217">
      <c r="A2217" s="31"/>
      <c r="B2217" s="31"/>
      <c r="C2217" s="32"/>
      <c r="D2217" s="40"/>
      <c r="E2217" s="32"/>
      <c r="F2217" s="34"/>
      <c r="G2217" s="32"/>
      <c r="H2217" s="32"/>
      <c r="K2217" s="41"/>
      <c r="M2217" s="41"/>
      <c r="N2217" s="42"/>
    </row>
    <row r="2218">
      <c r="A2218" s="31"/>
      <c r="B2218" s="31"/>
      <c r="C2218" s="32"/>
      <c r="D2218" s="40"/>
      <c r="E2218" s="32"/>
      <c r="F2218" s="34"/>
      <c r="G2218" s="32"/>
      <c r="H2218" s="32"/>
      <c r="K2218" s="41"/>
      <c r="M2218" s="41"/>
      <c r="N2218" s="42"/>
    </row>
    <row r="2219">
      <c r="A2219" s="31"/>
      <c r="B2219" s="31"/>
      <c r="C2219" s="32"/>
      <c r="D2219" s="40"/>
      <c r="E2219" s="32"/>
      <c r="F2219" s="34"/>
      <c r="G2219" s="32"/>
      <c r="H2219" s="32"/>
      <c r="K2219" s="41"/>
      <c r="M2219" s="41"/>
      <c r="N2219" s="42"/>
    </row>
    <row r="2220">
      <c r="A2220" s="31"/>
      <c r="B2220" s="31"/>
      <c r="C2220" s="32"/>
      <c r="D2220" s="40"/>
      <c r="E2220" s="32"/>
      <c r="F2220" s="34"/>
      <c r="G2220" s="32"/>
      <c r="H2220" s="32"/>
      <c r="K2220" s="41"/>
      <c r="M2220" s="41"/>
      <c r="N2220" s="42"/>
    </row>
    <row r="2221">
      <c r="A2221" s="31"/>
      <c r="B2221" s="31"/>
      <c r="C2221" s="32"/>
      <c r="D2221" s="40"/>
      <c r="E2221" s="32"/>
      <c r="F2221" s="34"/>
      <c r="G2221" s="32"/>
      <c r="H2221" s="32"/>
      <c r="K2221" s="41"/>
      <c r="M2221" s="41"/>
      <c r="N2221" s="42"/>
    </row>
    <row r="2222">
      <c r="A2222" s="31"/>
      <c r="B2222" s="31"/>
      <c r="C2222" s="32"/>
      <c r="D2222" s="40"/>
      <c r="E2222" s="32"/>
      <c r="F2222" s="34"/>
      <c r="G2222" s="32"/>
      <c r="H2222" s="32"/>
      <c r="K2222" s="41"/>
      <c r="M2222" s="41"/>
      <c r="N2222" s="42"/>
    </row>
    <row r="2223">
      <c r="A2223" s="31"/>
      <c r="B2223" s="31"/>
      <c r="C2223" s="32"/>
      <c r="D2223" s="40"/>
      <c r="E2223" s="32"/>
      <c r="F2223" s="34"/>
      <c r="G2223" s="32"/>
      <c r="H2223" s="32"/>
      <c r="K2223" s="41"/>
      <c r="M2223" s="41"/>
      <c r="N2223" s="42"/>
    </row>
    <row r="2224">
      <c r="A2224" s="31"/>
      <c r="B2224" s="31"/>
      <c r="C2224" s="32"/>
      <c r="D2224" s="40"/>
      <c r="E2224" s="32"/>
      <c r="F2224" s="34"/>
      <c r="G2224" s="32"/>
      <c r="H2224" s="32"/>
      <c r="K2224" s="41"/>
      <c r="M2224" s="41"/>
      <c r="N2224" s="42"/>
    </row>
    <row r="2225">
      <c r="A2225" s="31"/>
      <c r="B2225" s="31"/>
      <c r="C2225" s="32"/>
      <c r="D2225" s="40"/>
      <c r="E2225" s="32"/>
      <c r="F2225" s="34"/>
      <c r="G2225" s="32"/>
      <c r="H2225" s="32"/>
      <c r="K2225" s="41"/>
      <c r="M2225" s="41"/>
      <c r="N2225" s="42"/>
    </row>
    <row r="2226">
      <c r="A2226" s="31"/>
      <c r="B2226" s="31"/>
      <c r="C2226" s="32"/>
      <c r="D2226" s="40"/>
      <c r="E2226" s="32"/>
      <c r="F2226" s="34"/>
      <c r="G2226" s="32"/>
      <c r="H2226" s="32"/>
      <c r="K2226" s="41"/>
      <c r="M2226" s="41"/>
      <c r="N2226" s="42"/>
    </row>
    <row r="2227">
      <c r="A2227" s="31"/>
      <c r="B2227" s="31"/>
      <c r="C2227" s="32"/>
      <c r="D2227" s="40"/>
      <c r="E2227" s="32"/>
      <c r="F2227" s="34"/>
      <c r="G2227" s="32"/>
      <c r="H2227" s="32"/>
      <c r="K2227" s="41"/>
      <c r="M2227" s="41"/>
      <c r="N2227" s="42"/>
    </row>
    <row r="2228">
      <c r="A2228" s="31"/>
      <c r="B2228" s="31"/>
      <c r="C2228" s="32"/>
      <c r="D2228" s="40"/>
      <c r="E2228" s="32"/>
      <c r="F2228" s="34"/>
      <c r="G2228" s="32"/>
      <c r="H2228" s="32"/>
      <c r="K2228" s="41"/>
      <c r="M2228" s="41"/>
      <c r="N2228" s="42"/>
    </row>
    <row r="2229">
      <c r="A2229" s="31"/>
      <c r="B2229" s="31"/>
      <c r="C2229" s="32"/>
      <c r="D2229" s="40"/>
      <c r="E2229" s="32"/>
      <c r="F2229" s="34"/>
      <c r="G2229" s="32"/>
      <c r="H2229" s="32"/>
      <c r="K2229" s="41"/>
      <c r="M2229" s="41"/>
      <c r="N2229" s="42"/>
    </row>
    <row r="2230">
      <c r="A2230" s="31"/>
      <c r="B2230" s="31"/>
      <c r="C2230" s="32"/>
      <c r="D2230" s="40"/>
      <c r="E2230" s="32"/>
      <c r="F2230" s="34"/>
      <c r="G2230" s="32"/>
      <c r="H2230" s="32"/>
      <c r="K2230" s="41"/>
      <c r="M2230" s="41"/>
      <c r="N2230" s="42"/>
    </row>
    <row r="2231">
      <c r="A2231" s="31"/>
      <c r="B2231" s="31"/>
      <c r="C2231" s="32"/>
      <c r="D2231" s="40"/>
      <c r="E2231" s="32"/>
      <c r="F2231" s="34"/>
      <c r="G2231" s="32"/>
      <c r="H2231" s="32"/>
      <c r="K2231" s="41"/>
      <c r="M2231" s="41"/>
      <c r="N2231" s="42"/>
    </row>
    <row r="2232">
      <c r="A2232" s="31"/>
      <c r="B2232" s="31"/>
      <c r="C2232" s="32"/>
      <c r="D2232" s="40"/>
      <c r="E2232" s="32"/>
      <c r="F2232" s="34"/>
      <c r="G2232" s="32"/>
      <c r="H2232" s="32"/>
      <c r="K2232" s="41"/>
      <c r="M2232" s="41"/>
      <c r="N2232" s="42"/>
    </row>
    <row r="2233">
      <c r="A2233" s="31"/>
      <c r="B2233" s="31"/>
      <c r="C2233" s="32"/>
      <c r="D2233" s="40"/>
      <c r="E2233" s="32"/>
      <c r="F2233" s="34"/>
      <c r="G2233" s="32"/>
      <c r="H2233" s="32"/>
      <c r="K2233" s="41"/>
      <c r="M2233" s="41"/>
      <c r="N2233" s="42"/>
    </row>
    <row r="2234">
      <c r="A2234" s="31"/>
      <c r="B2234" s="31"/>
      <c r="C2234" s="32"/>
      <c r="D2234" s="40"/>
      <c r="E2234" s="32"/>
      <c r="F2234" s="34"/>
      <c r="G2234" s="32"/>
      <c r="H2234" s="32"/>
      <c r="K2234" s="41"/>
      <c r="M2234" s="41"/>
      <c r="N2234" s="42"/>
    </row>
    <row r="2235">
      <c r="A2235" s="31"/>
      <c r="B2235" s="31"/>
      <c r="C2235" s="32"/>
      <c r="D2235" s="40"/>
      <c r="E2235" s="32"/>
      <c r="F2235" s="34"/>
      <c r="G2235" s="32"/>
      <c r="H2235" s="32"/>
      <c r="K2235" s="41"/>
      <c r="M2235" s="41"/>
      <c r="N2235" s="42"/>
    </row>
    <row r="2236">
      <c r="A2236" s="31"/>
      <c r="B2236" s="31"/>
      <c r="C2236" s="32"/>
      <c r="D2236" s="40"/>
      <c r="E2236" s="32"/>
      <c r="F2236" s="34"/>
      <c r="G2236" s="32"/>
      <c r="H2236" s="32"/>
      <c r="K2236" s="41"/>
      <c r="M2236" s="41"/>
      <c r="N2236" s="42"/>
    </row>
    <row r="2237">
      <c r="A2237" s="31"/>
      <c r="B2237" s="31"/>
      <c r="C2237" s="32"/>
      <c r="D2237" s="40"/>
      <c r="E2237" s="32"/>
      <c r="F2237" s="34"/>
      <c r="G2237" s="32"/>
      <c r="H2237" s="32"/>
      <c r="K2237" s="41"/>
      <c r="M2237" s="41"/>
      <c r="N2237" s="42"/>
    </row>
    <row r="2238">
      <c r="A2238" s="31"/>
      <c r="B2238" s="31"/>
      <c r="C2238" s="32"/>
      <c r="D2238" s="40"/>
      <c r="E2238" s="32"/>
      <c r="F2238" s="34"/>
      <c r="G2238" s="32"/>
      <c r="H2238" s="32"/>
      <c r="K2238" s="41"/>
      <c r="M2238" s="41"/>
      <c r="N2238" s="42"/>
    </row>
    <row r="2239">
      <c r="A2239" s="31"/>
      <c r="B2239" s="31"/>
      <c r="C2239" s="32"/>
      <c r="D2239" s="40"/>
      <c r="E2239" s="32"/>
      <c r="F2239" s="34"/>
      <c r="G2239" s="32"/>
      <c r="H2239" s="32"/>
      <c r="K2239" s="41"/>
      <c r="M2239" s="41"/>
      <c r="N2239" s="42"/>
    </row>
    <row r="2240">
      <c r="A2240" s="31"/>
      <c r="B2240" s="31"/>
      <c r="C2240" s="32"/>
      <c r="D2240" s="40"/>
      <c r="E2240" s="32"/>
      <c r="F2240" s="34"/>
      <c r="G2240" s="32"/>
      <c r="H2240" s="32"/>
      <c r="K2240" s="41"/>
      <c r="M2240" s="41"/>
      <c r="N2240" s="42"/>
    </row>
    <row r="2241">
      <c r="A2241" s="31"/>
      <c r="B2241" s="31"/>
      <c r="C2241" s="32"/>
      <c r="D2241" s="40"/>
      <c r="E2241" s="32"/>
      <c r="F2241" s="34"/>
      <c r="G2241" s="32"/>
      <c r="H2241" s="32"/>
      <c r="K2241" s="41"/>
      <c r="M2241" s="41"/>
      <c r="N2241" s="42"/>
    </row>
    <row r="2242">
      <c r="A2242" s="31"/>
      <c r="B2242" s="31"/>
      <c r="C2242" s="32"/>
      <c r="D2242" s="40"/>
      <c r="E2242" s="32"/>
      <c r="F2242" s="34"/>
      <c r="G2242" s="32"/>
      <c r="H2242" s="32"/>
      <c r="K2242" s="41"/>
      <c r="M2242" s="41"/>
      <c r="N2242" s="42"/>
    </row>
    <row r="2243">
      <c r="A2243" s="31"/>
      <c r="B2243" s="31"/>
      <c r="C2243" s="32"/>
      <c r="D2243" s="40"/>
      <c r="E2243" s="32"/>
      <c r="F2243" s="34"/>
      <c r="G2243" s="32"/>
      <c r="H2243" s="32"/>
      <c r="K2243" s="41"/>
      <c r="M2243" s="41"/>
      <c r="N2243" s="42"/>
    </row>
    <row r="2244">
      <c r="A2244" s="31"/>
      <c r="B2244" s="31"/>
      <c r="C2244" s="32"/>
      <c r="D2244" s="40"/>
      <c r="E2244" s="32"/>
      <c r="F2244" s="34"/>
      <c r="G2244" s="32"/>
      <c r="H2244" s="32"/>
      <c r="K2244" s="41"/>
      <c r="M2244" s="41"/>
      <c r="N2244" s="42"/>
    </row>
    <row r="2245">
      <c r="A2245" s="31"/>
      <c r="B2245" s="31"/>
      <c r="C2245" s="32"/>
      <c r="D2245" s="40"/>
      <c r="E2245" s="32"/>
      <c r="F2245" s="34"/>
      <c r="G2245" s="32"/>
      <c r="H2245" s="32"/>
      <c r="K2245" s="41"/>
      <c r="M2245" s="41"/>
      <c r="N2245" s="42"/>
    </row>
    <row r="2246">
      <c r="A2246" s="31"/>
      <c r="B2246" s="31"/>
      <c r="C2246" s="32"/>
      <c r="D2246" s="40"/>
      <c r="E2246" s="32"/>
      <c r="F2246" s="34"/>
      <c r="G2246" s="32"/>
      <c r="H2246" s="32"/>
      <c r="K2246" s="41"/>
      <c r="M2246" s="41"/>
      <c r="N2246" s="42"/>
    </row>
    <row r="2247">
      <c r="A2247" s="31"/>
      <c r="B2247" s="31"/>
      <c r="C2247" s="32"/>
      <c r="D2247" s="40"/>
      <c r="E2247" s="32"/>
      <c r="F2247" s="34"/>
      <c r="G2247" s="32"/>
      <c r="H2247" s="32"/>
      <c r="K2247" s="41"/>
      <c r="M2247" s="41"/>
      <c r="N2247" s="42"/>
    </row>
    <row r="2248">
      <c r="A2248" s="31"/>
      <c r="B2248" s="31"/>
      <c r="C2248" s="32"/>
      <c r="D2248" s="40"/>
      <c r="E2248" s="32"/>
      <c r="F2248" s="34"/>
      <c r="G2248" s="32"/>
      <c r="H2248" s="32"/>
      <c r="K2248" s="41"/>
      <c r="M2248" s="41"/>
      <c r="N2248" s="42"/>
    </row>
    <row r="2249">
      <c r="A2249" s="31"/>
      <c r="B2249" s="31"/>
      <c r="C2249" s="32"/>
      <c r="D2249" s="40"/>
      <c r="E2249" s="32"/>
      <c r="F2249" s="34"/>
      <c r="G2249" s="32"/>
      <c r="H2249" s="32"/>
      <c r="K2249" s="41"/>
      <c r="M2249" s="41"/>
      <c r="N2249" s="42"/>
    </row>
    <row r="2250">
      <c r="A2250" s="31"/>
      <c r="B2250" s="31"/>
      <c r="C2250" s="32"/>
      <c r="D2250" s="40"/>
      <c r="E2250" s="32"/>
      <c r="F2250" s="34"/>
      <c r="G2250" s="32"/>
      <c r="H2250" s="32"/>
      <c r="K2250" s="41"/>
      <c r="M2250" s="41"/>
      <c r="N2250" s="42"/>
    </row>
    <row r="2251">
      <c r="A2251" s="31"/>
      <c r="B2251" s="31"/>
      <c r="C2251" s="32"/>
      <c r="D2251" s="40"/>
      <c r="E2251" s="32"/>
      <c r="F2251" s="34"/>
      <c r="G2251" s="32"/>
      <c r="H2251" s="32"/>
      <c r="K2251" s="41"/>
      <c r="M2251" s="41"/>
      <c r="N2251" s="42"/>
    </row>
    <row r="2252">
      <c r="A2252" s="31"/>
      <c r="B2252" s="31"/>
      <c r="C2252" s="32"/>
      <c r="D2252" s="40"/>
      <c r="E2252" s="32"/>
      <c r="F2252" s="34"/>
      <c r="G2252" s="32"/>
      <c r="H2252" s="32"/>
      <c r="K2252" s="41"/>
      <c r="M2252" s="41"/>
      <c r="N2252" s="42"/>
    </row>
    <row r="2253">
      <c r="A2253" s="31"/>
      <c r="B2253" s="31"/>
      <c r="C2253" s="32"/>
      <c r="D2253" s="40"/>
      <c r="E2253" s="32"/>
      <c r="F2253" s="34"/>
      <c r="G2253" s="32"/>
      <c r="H2253" s="32"/>
      <c r="K2253" s="41"/>
      <c r="M2253" s="41"/>
      <c r="N2253" s="42"/>
    </row>
    <row r="2254">
      <c r="A2254" s="31"/>
      <c r="B2254" s="31"/>
      <c r="C2254" s="32"/>
      <c r="D2254" s="40"/>
      <c r="E2254" s="32"/>
      <c r="F2254" s="34"/>
      <c r="G2254" s="32"/>
      <c r="H2254" s="32"/>
      <c r="K2254" s="41"/>
      <c r="M2254" s="41"/>
      <c r="N2254" s="42"/>
    </row>
    <row r="2255">
      <c r="A2255" s="31"/>
      <c r="B2255" s="31"/>
      <c r="C2255" s="32"/>
      <c r="D2255" s="40"/>
      <c r="E2255" s="32"/>
      <c r="F2255" s="34"/>
      <c r="G2255" s="32"/>
      <c r="H2255" s="32"/>
      <c r="K2255" s="41"/>
      <c r="M2255" s="41"/>
      <c r="N2255" s="42"/>
    </row>
    <row r="2256">
      <c r="A2256" s="31"/>
      <c r="B2256" s="31"/>
      <c r="C2256" s="32"/>
      <c r="D2256" s="40"/>
      <c r="E2256" s="32"/>
      <c r="F2256" s="34"/>
      <c r="G2256" s="32"/>
      <c r="H2256" s="32"/>
      <c r="K2256" s="41"/>
      <c r="M2256" s="41"/>
      <c r="N2256" s="42"/>
    </row>
    <row r="2257">
      <c r="A2257" s="31"/>
      <c r="B2257" s="31"/>
      <c r="C2257" s="32"/>
      <c r="D2257" s="40"/>
      <c r="E2257" s="32"/>
      <c r="F2257" s="34"/>
      <c r="G2257" s="32"/>
      <c r="H2257" s="32"/>
      <c r="K2257" s="41"/>
      <c r="M2257" s="41"/>
      <c r="N2257" s="42"/>
    </row>
    <row r="2258">
      <c r="A2258" s="31"/>
      <c r="B2258" s="31"/>
      <c r="C2258" s="32"/>
      <c r="D2258" s="40"/>
      <c r="E2258" s="32"/>
      <c r="F2258" s="34"/>
      <c r="G2258" s="32"/>
      <c r="H2258" s="32"/>
      <c r="K2258" s="41"/>
      <c r="M2258" s="41"/>
      <c r="N2258" s="42"/>
    </row>
    <row r="2259">
      <c r="A2259" s="31"/>
      <c r="B2259" s="31"/>
      <c r="C2259" s="32"/>
      <c r="D2259" s="40"/>
      <c r="E2259" s="32"/>
      <c r="F2259" s="34"/>
      <c r="G2259" s="32"/>
      <c r="H2259" s="32"/>
      <c r="K2259" s="41"/>
      <c r="M2259" s="41"/>
      <c r="N2259" s="42"/>
    </row>
    <row r="2260">
      <c r="A2260" s="31"/>
      <c r="B2260" s="31"/>
      <c r="C2260" s="32"/>
      <c r="D2260" s="40"/>
      <c r="E2260" s="32"/>
      <c r="F2260" s="34"/>
      <c r="G2260" s="32"/>
      <c r="H2260" s="32"/>
      <c r="K2260" s="41"/>
      <c r="M2260" s="41"/>
      <c r="N2260" s="42"/>
    </row>
    <row r="2261">
      <c r="A2261" s="31"/>
      <c r="B2261" s="31"/>
      <c r="C2261" s="32"/>
      <c r="D2261" s="40"/>
      <c r="E2261" s="32"/>
      <c r="F2261" s="34"/>
      <c r="G2261" s="32"/>
      <c r="H2261" s="32"/>
      <c r="K2261" s="41"/>
      <c r="M2261" s="41"/>
      <c r="N2261" s="42"/>
    </row>
    <row r="2262">
      <c r="A2262" s="31"/>
      <c r="B2262" s="31"/>
      <c r="C2262" s="32"/>
      <c r="D2262" s="40"/>
      <c r="E2262" s="32"/>
      <c r="F2262" s="34"/>
      <c r="G2262" s="32"/>
      <c r="H2262" s="32"/>
      <c r="K2262" s="41"/>
      <c r="M2262" s="41"/>
      <c r="N2262" s="42"/>
    </row>
    <row r="2263">
      <c r="A2263" s="31"/>
      <c r="B2263" s="31"/>
      <c r="C2263" s="32"/>
      <c r="D2263" s="40"/>
      <c r="E2263" s="32"/>
      <c r="F2263" s="34"/>
      <c r="G2263" s="32"/>
      <c r="H2263" s="32"/>
      <c r="K2263" s="41"/>
      <c r="M2263" s="41"/>
      <c r="N2263" s="42"/>
    </row>
    <row r="2264">
      <c r="A2264" s="31"/>
      <c r="B2264" s="31"/>
      <c r="C2264" s="32"/>
      <c r="D2264" s="40"/>
      <c r="E2264" s="32"/>
      <c r="F2264" s="34"/>
      <c r="G2264" s="32"/>
      <c r="H2264" s="32"/>
      <c r="K2264" s="41"/>
      <c r="M2264" s="41"/>
      <c r="N2264" s="42"/>
    </row>
    <row r="2265">
      <c r="A2265" s="31"/>
      <c r="B2265" s="31"/>
      <c r="C2265" s="32"/>
      <c r="D2265" s="40"/>
      <c r="E2265" s="32"/>
      <c r="F2265" s="34"/>
      <c r="G2265" s="32"/>
      <c r="H2265" s="32"/>
      <c r="K2265" s="41"/>
      <c r="M2265" s="41"/>
      <c r="N2265" s="42"/>
    </row>
    <row r="2266">
      <c r="A2266" s="31"/>
      <c r="B2266" s="31"/>
      <c r="C2266" s="32"/>
      <c r="D2266" s="40"/>
      <c r="E2266" s="32"/>
      <c r="F2266" s="34"/>
      <c r="G2266" s="32"/>
      <c r="H2266" s="32"/>
      <c r="K2266" s="41"/>
      <c r="M2266" s="41"/>
      <c r="N2266" s="42"/>
    </row>
    <row r="2267">
      <c r="A2267" s="31"/>
      <c r="B2267" s="31"/>
      <c r="C2267" s="32"/>
      <c r="D2267" s="40"/>
      <c r="E2267" s="32"/>
      <c r="F2267" s="34"/>
      <c r="G2267" s="32"/>
      <c r="H2267" s="32"/>
      <c r="K2267" s="41"/>
      <c r="M2267" s="41"/>
      <c r="N2267" s="42"/>
    </row>
    <row r="2268">
      <c r="A2268" s="31"/>
      <c r="B2268" s="31"/>
      <c r="C2268" s="32"/>
      <c r="D2268" s="40"/>
      <c r="E2268" s="32"/>
      <c r="F2268" s="34"/>
      <c r="G2268" s="32"/>
      <c r="H2268" s="32"/>
      <c r="K2268" s="41"/>
      <c r="M2268" s="41"/>
      <c r="N2268" s="42"/>
    </row>
    <row r="2269">
      <c r="A2269" s="31"/>
      <c r="B2269" s="31"/>
      <c r="C2269" s="32"/>
      <c r="D2269" s="40"/>
      <c r="E2269" s="32"/>
      <c r="F2269" s="34"/>
      <c r="G2269" s="32"/>
      <c r="H2269" s="32"/>
      <c r="K2269" s="41"/>
      <c r="M2269" s="41"/>
      <c r="N2269" s="42"/>
    </row>
    <row r="2270">
      <c r="A2270" s="31"/>
      <c r="B2270" s="31"/>
      <c r="C2270" s="32"/>
      <c r="D2270" s="40"/>
      <c r="E2270" s="32"/>
      <c r="F2270" s="34"/>
      <c r="G2270" s="32"/>
      <c r="H2270" s="32"/>
      <c r="K2270" s="41"/>
      <c r="M2270" s="41"/>
      <c r="N2270" s="42"/>
    </row>
    <row r="2271">
      <c r="A2271" s="31"/>
      <c r="B2271" s="31"/>
      <c r="C2271" s="32"/>
      <c r="D2271" s="40"/>
      <c r="E2271" s="32"/>
      <c r="F2271" s="34"/>
      <c r="G2271" s="32"/>
      <c r="H2271" s="32"/>
      <c r="K2271" s="41"/>
      <c r="M2271" s="41"/>
      <c r="N2271" s="42"/>
    </row>
    <row r="2272">
      <c r="A2272" s="31"/>
      <c r="B2272" s="31"/>
      <c r="C2272" s="32"/>
      <c r="D2272" s="40"/>
      <c r="E2272" s="32"/>
      <c r="F2272" s="34"/>
      <c r="G2272" s="32"/>
      <c r="H2272" s="32"/>
      <c r="K2272" s="41"/>
      <c r="M2272" s="41"/>
      <c r="N2272" s="42"/>
    </row>
    <row r="2273">
      <c r="A2273" s="31"/>
      <c r="B2273" s="31"/>
      <c r="C2273" s="32"/>
      <c r="D2273" s="40"/>
      <c r="E2273" s="32"/>
      <c r="F2273" s="34"/>
      <c r="G2273" s="32"/>
      <c r="H2273" s="32"/>
      <c r="K2273" s="41"/>
      <c r="M2273" s="41"/>
      <c r="N2273" s="42"/>
    </row>
    <row r="2274">
      <c r="A2274" s="31"/>
      <c r="B2274" s="31"/>
      <c r="C2274" s="32"/>
      <c r="D2274" s="40"/>
      <c r="E2274" s="32"/>
      <c r="F2274" s="34"/>
      <c r="G2274" s="32"/>
      <c r="H2274" s="32"/>
      <c r="K2274" s="41"/>
      <c r="M2274" s="41"/>
      <c r="N2274" s="42"/>
    </row>
    <row r="2275">
      <c r="A2275" s="31"/>
      <c r="B2275" s="31"/>
      <c r="C2275" s="32"/>
      <c r="D2275" s="40"/>
      <c r="E2275" s="32"/>
      <c r="F2275" s="34"/>
      <c r="G2275" s="32"/>
      <c r="H2275" s="32"/>
      <c r="K2275" s="41"/>
      <c r="M2275" s="41"/>
      <c r="N2275" s="42"/>
    </row>
    <row r="2276">
      <c r="A2276" s="31"/>
      <c r="B2276" s="31"/>
      <c r="C2276" s="32"/>
      <c r="D2276" s="40"/>
      <c r="E2276" s="32"/>
      <c r="F2276" s="34"/>
      <c r="G2276" s="32"/>
      <c r="H2276" s="32"/>
      <c r="K2276" s="41"/>
      <c r="M2276" s="41"/>
      <c r="N2276" s="42"/>
    </row>
    <row r="2277">
      <c r="A2277" s="31"/>
      <c r="B2277" s="31"/>
      <c r="C2277" s="32"/>
      <c r="D2277" s="40"/>
      <c r="E2277" s="32"/>
      <c r="F2277" s="34"/>
      <c r="G2277" s="32"/>
      <c r="H2277" s="32"/>
      <c r="K2277" s="41"/>
      <c r="M2277" s="41"/>
      <c r="N2277" s="42"/>
    </row>
    <row r="2278">
      <c r="A2278" s="31"/>
      <c r="B2278" s="31"/>
      <c r="C2278" s="32"/>
      <c r="D2278" s="40"/>
      <c r="E2278" s="32"/>
      <c r="F2278" s="34"/>
      <c r="G2278" s="32"/>
      <c r="H2278" s="32"/>
      <c r="K2278" s="41"/>
      <c r="M2278" s="41"/>
      <c r="N2278" s="42"/>
    </row>
    <row r="2279">
      <c r="A2279" s="31"/>
      <c r="B2279" s="31"/>
      <c r="C2279" s="32"/>
      <c r="D2279" s="40"/>
      <c r="E2279" s="32"/>
      <c r="F2279" s="34"/>
      <c r="G2279" s="32"/>
      <c r="H2279" s="32"/>
      <c r="K2279" s="41"/>
      <c r="M2279" s="41"/>
      <c r="N2279" s="42"/>
    </row>
    <row r="2280">
      <c r="A2280" s="31"/>
      <c r="B2280" s="31"/>
      <c r="C2280" s="32"/>
      <c r="D2280" s="40"/>
      <c r="E2280" s="32"/>
      <c r="F2280" s="34"/>
      <c r="G2280" s="32"/>
      <c r="H2280" s="32"/>
      <c r="K2280" s="41"/>
      <c r="M2280" s="41"/>
      <c r="N2280" s="42"/>
    </row>
    <row r="2281">
      <c r="A2281" s="31"/>
      <c r="B2281" s="31"/>
      <c r="C2281" s="32"/>
      <c r="D2281" s="40"/>
      <c r="E2281" s="32"/>
      <c r="F2281" s="34"/>
      <c r="G2281" s="32"/>
      <c r="H2281" s="32"/>
      <c r="K2281" s="41"/>
      <c r="M2281" s="41"/>
      <c r="N2281" s="42"/>
    </row>
    <row r="2282">
      <c r="A2282" s="31"/>
      <c r="B2282" s="31"/>
      <c r="C2282" s="32"/>
      <c r="D2282" s="40"/>
      <c r="E2282" s="32"/>
      <c r="F2282" s="34"/>
      <c r="G2282" s="32"/>
      <c r="H2282" s="32"/>
      <c r="K2282" s="41"/>
      <c r="M2282" s="41"/>
      <c r="N2282" s="42"/>
    </row>
    <row r="2283">
      <c r="A2283" s="31"/>
      <c r="B2283" s="31"/>
      <c r="C2283" s="32"/>
      <c r="D2283" s="40"/>
      <c r="E2283" s="32"/>
      <c r="F2283" s="34"/>
      <c r="G2283" s="32"/>
      <c r="H2283" s="32"/>
      <c r="K2283" s="41"/>
      <c r="M2283" s="41"/>
      <c r="N2283" s="42"/>
    </row>
    <row r="2284">
      <c r="A2284" s="31"/>
      <c r="B2284" s="31"/>
      <c r="C2284" s="32"/>
      <c r="D2284" s="40"/>
      <c r="E2284" s="32"/>
      <c r="F2284" s="34"/>
      <c r="G2284" s="32"/>
      <c r="H2284" s="32"/>
      <c r="K2284" s="41"/>
      <c r="M2284" s="41"/>
      <c r="N2284" s="42"/>
    </row>
    <row r="2285">
      <c r="A2285" s="31"/>
      <c r="B2285" s="31"/>
      <c r="C2285" s="32"/>
      <c r="D2285" s="40"/>
      <c r="E2285" s="32"/>
      <c r="F2285" s="34"/>
      <c r="G2285" s="32"/>
      <c r="H2285" s="32"/>
      <c r="K2285" s="41"/>
      <c r="M2285" s="41"/>
      <c r="N2285" s="42"/>
    </row>
    <row r="2286">
      <c r="A2286" s="31"/>
      <c r="B2286" s="31"/>
      <c r="C2286" s="32"/>
      <c r="D2286" s="40"/>
      <c r="E2286" s="32"/>
      <c r="F2286" s="34"/>
      <c r="G2286" s="32"/>
      <c r="H2286" s="32"/>
      <c r="K2286" s="41"/>
      <c r="M2286" s="41"/>
      <c r="N2286" s="42"/>
    </row>
    <row r="2287">
      <c r="A2287" s="31"/>
      <c r="B2287" s="31"/>
      <c r="C2287" s="32"/>
      <c r="D2287" s="40"/>
      <c r="E2287" s="32"/>
      <c r="F2287" s="34"/>
      <c r="G2287" s="32"/>
      <c r="H2287" s="32"/>
      <c r="K2287" s="41"/>
      <c r="M2287" s="41"/>
      <c r="N2287" s="42"/>
    </row>
    <row r="2288">
      <c r="A2288" s="31"/>
      <c r="B2288" s="31"/>
      <c r="C2288" s="32"/>
      <c r="D2288" s="40"/>
      <c r="E2288" s="32"/>
      <c r="F2288" s="34"/>
      <c r="G2288" s="32"/>
      <c r="H2288" s="32"/>
      <c r="K2288" s="41"/>
      <c r="M2288" s="41"/>
      <c r="N2288" s="42"/>
    </row>
    <row r="2289">
      <c r="A2289" s="31"/>
      <c r="B2289" s="31"/>
      <c r="C2289" s="32"/>
      <c r="D2289" s="40"/>
      <c r="E2289" s="32"/>
      <c r="F2289" s="34"/>
      <c r="G2289" s="32"/>
      <c r="H2289" s="32"/>
      <c r="K2289" s="41"/>
      <c r="M2289" s="41"/>
      <c r="N2289" s="42"/>
    </row>
    <row r="2290">
      <c r="A2290" s="31"/>
      <c r="B2290" s="31"/>
      <c r="C2290" s="32"/>
      <c r="D2290" s="40"/>
      <c r="E2290" s="32"/>
      <c r="F2290" s="34"/>
      <c r="G2290" s="32"/>
      <c r="H2290" s="32"/>
      <c r="K2290" s="41"/>
      <c r="M2290" s="41"/>
      <c r="N2290" s="42"/>
    </row>
    <row r="2291">
      <c r="A2291" s="31"/>
      <c r="B2291" s="31"/>
      <c r="C2291" s="32"/>
      <c r="D2291" s="40"/>
      <c r="E2291" s="32"/>
      <c r="F2291" s="34"/>
      <c r="G2291" s="32"/>
      <c r="H2291" s="32"/>
      <c r="K2291" s="41"/>
      <c r="M2291" s="41"/>
      <c r="N2291" s="42"/>
    </row>
    <row r="2292">
      <c r="A2292" s="31"/>
      <c r="B2292" s="31"/>
      <c r="C2292" s="32"/>
      <c r="D2292" s="40"/>
      <c r="E2292" s="32"/>
      <c r="F2292" s="34"/>
      <c r="G2292" s="32"/>
      <c r="H2292" s="32"/>
      <c r="K2292" s="41"/>
      <c r="M2292" s="41"/>
      <c r="N2292" s="42"/>
    </row>
    <row r="2293">
      <c r="A2293" s="31"/>
      <c r="B2293" s="31"/>
      <c r="C2293" s="32"/>
      <c r="D2293" s="40"/>
      <c r="E2293" s="32"/>
      <c r="F2293" s="34"/>
      <c r="G2293" s="32"/>
      <c r="H2293" s="32"/>
      <c r="K2293" s="41"/>
      <c r="M2293" s="41"/>
      <c r="N2293" s="42"/>
    </row>
    <row r="2294">
      <c r="A2294" s="31"/>
      <c r="B2294" s="31"/>
      <c r="C2294" s="32"/>
      <c r="D2294" s="40"/>
      <c r="E2294" s="32"/>
      <c r="F2294" s="34"/>
      <c r="G2294" s="32"/>
      <c r="H2294" s="32"/>
      <c r="K2294" s="41"/>
      <c r="M2294" s="41"/>
      <c r="N2294" s="42"/>
    </row>
    <row r="2295">
      <c r="A2295" s="31"/>
      <c r="B2295" s="31"/>
      <c r="C2295" s="32"/>
      <c r="D2295" s="40"/>
      <c r="E2295" s="32"/>
      <c r="F2295" s="34"/>
      <c r="G2295" s="32"/>
      <c r="H2295" s="32"/>
      <c r="K2295" s="41"/>
      <c r="M2295" s="41"/>
      <c r="N2295" s="42"/>
    </row>
    <row r="2296">
      <c r="A2296" s="31"/>
      <c r="B2296" s="31"/>
      <c r="C2296" s="32"/>
      <c r="D2296" s="40"/>
      <c r="E2296" s="32"/>
      <c r="F2296" s="34"/>
      <c r="G2296" s="32"/>
      <c r="H2296" s="32"/>
      <c r="K2296" s="41"/>
      <c r="M2296" s="41"/>
      <c r="N2296" s="42"/>
    </row>
    <row r="2297">
      <c r="A2297" s="31"/>
      <c r="B2297" s="31"/>
      <c r="C2297" s="32"/>
      <c r="D2297" s="40"/>
      <c r="E2297" s="32"/>
      <c r="F2297" s="34"/>
      <c r="G2297" s="32"/>
      <c r="H2297" s="32"/>
      <c r="K2297" s="41"/>
      <c r="M2297" s="41"/>
      <c r="N2297" s="42"/>
    </row>
    <row r="2298">
      <c r="A2298" s="31"/>
      <c r="B2298" s="31"/>
      <c r="C2298" s="32"/>
      <c r="D2298" s="40"/>
      <c r="E2298" s="32"/>
      <c r="F2298" s="34"/>
      <c r="G2298" s="32"/>
      <c r="H2298" s="32"/>
      <c r="K2298" s="41"/>
      <c r="M2298" s="41"/>
      <c r="N2298" s="42"/>
    </row>
    <row r="2299">
      <c r="A2299" s="31"/>
      <c r="B2299" s="31"/>
      <c r="C2299" s="32"/>
      <c r="D2299" s="40"/>
      <c r="E2299" s="32"/>
      <c r="F2299" s="34"/>
      <c r="G2299" s="32"/>
      <c r="H2299" s="32"/>
      <c r="K2299" s="41"/>
      <c r="M2299" s="41"/>
      <c r="N2299" s="42"/>
    </row>
    <row r="2300">
      <c r="A2300" s="31"/>
      <c r="B2300" s="31"/>
      <c r="C2300" s="32"/>
      <c r="D2300" s="40"/>
      <c r="E2300" s="32"/>
      <c r="F2300" s="34"/>
      <c r="G2300" s="32"/>
      <c r="H2300" s="32"/>
      <c r="K2300" s="41"/>
      <c r="M2300" s="41"/>
      <c r="N2300" s="42"/>
    </row>
    <row r="2301">
      <c r="A2301" s="31"/>
      <c r="B2301" s="31"/>
      <c r="C2301" s="32"/>
      <c r="D2301" s="40"/>
      <c r="E2301" s="32"/>
      <c r="F2301" s="34"/>
      <c r="G2301" s="32"/>
      <c r="H2301" s="32"/>
      <c r="K2301" s="41"/>
      <c r="M2301" s="41"/>
      <c r="N2301" s="42"/>
    </row>
    <row r="2302">
      <c r="A2302" s="31"/>
      <c r="B2302" s="31"/>
      <c r="C2302" s="32"/>
      <c r="D2302" s="40"/>
      <c r="E2302" s="32"/>
      <c r="F2302" s="34"/>
      <c r="G2302" s="32"/>
      <c r="H2302" s="32"/>
      <c r="K2302" s="41"/>
      <c r="M2302" s="41"/>
      <c r="N2302" s="42"/>
    </row>
    <row r="2303">
      <c r="A2303" s="31"/>
      <c r="B2303" s="31"/>
      <c r="C2303" s="32"/>
      <c r="D2303" s="40"/>
      <c r="E2303" s="32"/>
      <c r="F2303" s="34"/>
      <c r="G2303" s="32"/>
      <c r="H2303" s="32"/>
      <c r="K2303" s="41"/>
      <c r="M2303" s="41"/>
      <c r="N2303" s="42"/>
    </row>
    <row r="2304">
      <c r="A2304" s="31"/>
      <c r="B2304" s="31"/>
      <c r="C2304" s="32"/>
      <c r="D2304" s="40"/>
      <c r="E2304" s="32"/>
      <c r="F2304" s="34"/>
      <c r="G2304" s="32"/>
      <c r="H2304" s="32"/>
      <c r="K2304" s="41"/>
      <c r="M2304" s="41"/>
      <c r="N2304" s="42"/>
    </row>
    <row r="2305">
      <c r="A2305" s="31"/>
      <c r="B2305" s="31"/>
      <c r="C2305" s="32"/>
      <c r="D2305" s="40"/>
      <c r="E2305" s="32"/>
      <c r="F2305" s="34"/>
      <c r="G2305" s="32"/>
      <c r="H2305" s="32"/>
      <c r="K2305" s="41"/>
      <c r="M2305" s="41"/>
      <c r="N2305" s="42"/>
    </row>
    <row r="2306">
      <c r="A2306" s="31"/>
      <c r="B2306" s="31"/>
      <c r="C2306" s="32"/>
      <c r="D2306" s="40"/>
      <c r="E2306" s="32"/>
      <c r="F2306" s="34"/>
      <c r="G2306" s="32"/>
      <c r="H2306" s="32"/>
      <c r="K2306" s="41"/>
      <c r="M2306" s="41"/>
      <c r="N2306" s="42"/>
    </row>
    <row r="2307">
      <c r="A2307" s="31"/>
      <c r="B2307" s="31"/>
      <c r="C2307" s="32"/>
      <c r="D2307" s="40"/>
      <c r="E2307" s="32"/>
      <c r="F2307" s="34"/>
      <c r="G2307" s="32"/>
      <c r="H2307" s="32"/>
      <c r="K2307" s="41"/>
      <c r="M2307" s="41"/>
      <c r="N2307" s="42"/>
    </row>
    <row r="2308">
      <c r="A2308" s="31"/>
      <c r="B2308" s="31"/>
      <c r="C2308" s="32"/>
      <c r="D2308" s="40"/>
      <c r="E2308" s="32"/>
      <c r="F2308" s="34"/>
      <c r="G2308" s="32"/>
      <c r="H2308" s="32"/>
      <c r="K2308" s="41"/>
      <c r="M2308" s="41"/>
      <c r="N2308" s="42"/>
    </row>
    <row r="2309">
      <c r="A2309" s="31"/>
      <c r="B2309" s="31"/>
      <c r="C2309" s="32"/>
      <c r="D2309" s="40"/>
      <c r="E2309" s="32"/>
      <c r="F2309" s="34"/>
      <c r="G2309" s="32"/>
      <c r="H2309" s="32"/>
      <c r="K2309" s="41"/>
      <c r="M2309" s="41"/>
      <c r="N2309" s="42"/>
    </row>
    <row r="2310">
      <c r="A2310" s="31"/>
      <c r="B2310" s="31"/>
      <c r="C2310" s="32"/>
      <c r="D2310" s="40"/>
      <c r="E2310" s="32"/>
      <c r="F2310" s="34"/>
      <c r="G2310" s="32"/>
      <c r="H2310" s="32"/>
      <c r="K2310" s="41"/>
      <c r="M2310" s="41"/>
      <c r="N2310" s="42"/>
    </row>
    <row r="2311">
      <c r="A2311" s="31"/>
      <c r="B2311" s="31"/>
      <c r="C2311" s="32"/>
      <c r="D2311" s="40"/>
      <c r="E2311" s="32"/>
      <c r="F2311" s="34"/>
      <c r="G2311" s="32"/>
      <c r="H2311" s="32"/>
      <c r="K2311" s="41"/>
      <c r="M2311" s="41"/>
      <c r="N2311" s="42"/>
    </row>
    <row r="2312">
      <c r="A2312" s="31"/>
      <c r="B2312" s="31"/>
      <c r="C2312" s="32"/>
      <c r="D2312" s="40"/>
      <c r="E2312" s="32"/>
      <c r="F2312" s="34"/>
      <c r="G2312" s="32"/>
      <c r="H2312" s="32"/>
      <c r="K2312" s="41"/>
      <c r="M2312" s="41"/>
      <c r="N2312" s="42"/>
    </row>
    <row r="2313">
      <c r="A2313" s="31"/>
      <c r="B2313" s="31"/>
      <c r="C2313" s="32"/>
      <c r="D2313" s="40"/>
      <c r="E2313" s="32"/>
      <c r="F2313" s="34"/>
      <c r="G2313" s="32"/>
      <c r="H2313" s="32"/>
      <c r="K2313" s="41"/>
      <c r="M2313" s="41"/>
      <c r="N2313" s="42"/>
    </row>
    <row r="2314">
      <c r="A2314" s="31"/>
      <c r="B2314" s="31"/>
      <c r="C2314" s="32"/>
      <c r="D2314" s="40"/>
      <c r="E2314" s="32"/>
      <c r="F2314" s="34"/>
      <c r="G2314" s="32"/>
      <c r="H2314" s="32"/>
      <c r="K2314" s="41"/>
      <c r="M2314" s="41"/>
      <c r="N2314" s="42"/>
    </row>
    <row r="2315">
      <c r="A2315" s="31"/>
      <c r="B2315" s="31"/>
      <c r="C2315" s="32"/>
      <c r="D2315" s="40"/>
      <c r="E2315" s="32"/>
      <c r="F2315" s="34"/>
      <c r="G2315" s="32"/>
      <c r="H2315" s="32"/>
      <c r="K2315" s="41"/>
      <c r="M2315" s="41"/>
      <c r="N2315" s="42"/>
    </row>
    <row r="2316">
      <c r="A2316" s="31"/>
      <c r="B2316" s="31"/>
      <c r="C2316" s="32"/>
      <c r="D2316" s="40"/>
      <c r="E2316" s="32"/>
      <c r="F2316" s="34"/>
      <c r="G2316" s="32"/>
      <c r="H2316" s="32"/>
      <c r="K2316" s="41"/>
      <c r="M2316" s="41"/>
      <c r="N2316" s="42"/>
    </row>
    <row r="2317">
      <c r="A2317" s="31"/>
      <c r="B2317" s="31"/>
      <c r="C2317" s="32"/>
      <c r="D2317" s="40"/>
      <c r="E2317" s="32"/>
      <c r="F2317" s="34"/>
      <c r="G2317" s="32"/>
      <c r="H2317" s="32"/>
      <c r="K2317" s="41"/>
      <c r="M2317" s="41"/>
      <c r="N2317" s="42"/>
    </row>
    <row r="2318">
      <c r="A2318" s="31"/>
      <c r="B2318" s="31"/>
      <c r="C2318" s="32"/>
      <c r="D2318" s="40"/>
      <c r="E2318" s="32"/>
      <c r="F2318" s="34"/>
      <c r="G2318" s="32"/>
      <c r="H2318" s="32"/>
      <c r="K2318" s="41"/>
      <c r="M2318" s="41"/>
      <c r="N2318" s="42"/>
    </row>
    <row r="2319">
      <c r="A2319" s="31"/>
      <c r="B2319" s="31"/>
      <c r="C2319" s="32"/>
      <c r="D2319" s="40"/>
      <c r="E2319" s="32"/>
      <c r="F2319" s="34"/>
      <c r="G2319" s="32"/>
      <c r="H2319" s="32"/>
      <c r="K2319" s="41"/>
      <c r="M2319" s="41"/>
      <c r="N2319" s="42"/>
    </row>
    <row r="2320">
      <c r="A2320" s="31"/>
      <c r="B2320" s="31"/>
      <c r="C2320" s="32"/>
      <c r="D2320" s="40"/>
      <c r="E2320" s="32"/>
      <c r="F2320" s="34"/>
      <c r="G2320" s="32"/>
      <c r="H2320" s="32"/>
      <c r="K2320" s="41"/>
      <c r="M2320" s="41"/>
      <c r="N2320" s="42"/>
    </row>
    <row r="2321">
      <c r="A2321" s="31"/>
      <c r="B2321" s="31"/>
      <c r="C2321" s="32"/>
      <c r="D2321" s="40"/>
      <c r="E2321" s="32"/>
      <c r="F2321" s="34"/>
      <c r="G2321" s="32"/>
      <c r="H2321" s="32"/>
      <c r="K2321" s="41"/>
      <c r="M2321" s="41"/>
      <c r="N2321" s="42"/>
    </row>
    <row r="2322">
      <c r="A2322" s="31"/>
      <c r="B2322" s="31"/>
      <c r="C2322" s="32"/>
      <c r="D2322" s="40"/>
      <c r="E2322" s="32"/>
      <c r="F2322" s="34"/>
      <c r="G2322" s="32"/>
      <c r="H2322" s="32"/>
      <c r="K2322" s="41"/>
      <c r="M2322" s="41"/>
      <c r="N2322" s="42"/>
    </row>
    <row r="2323">
      <c r="A2323" s="31"/>
      <c r="B2323" s="31"/>
      <c r="C2323" s="32"/>
      <c r="D2323" s="40"/>
      <c r="E2323" s="32"/>
      <c r="F2323" s="34"/>
      <c r="G2323" s="32"/>
      <c r="H2323" s="32"/>
      <c r="K2323" s="41"/>
      <c r="M2323" s="41"/>
      <c r="N2323" s="42"/>
    </row>
    <row r="2324">
      <c r="A2324" s="31"/>
      <c r="B2324" s="31"/>
      <c r="C2324" s="32"/>
      <c r="D2324" s="40"/>
      <c r="E2324" s="32"/>
      <c r="F2324" s="34"/>
      <c r="G2324" s="32"/>
      <c r="H2324" s="32"/>
      <c r="K2324" s="41"/>
      <c r="M2324" s="41"/>
      <c r="N2324" s="42"/>
    </row>
    <row r="2325">
      <c r="A2325" s="31"/>
      <c r="B2325" s="31"/>
      <c r="C2325" s="32"/>
      <c r="D2325" s="40"/>
      <c r="E2325" s="32"/>
      <c r="F2325" s="34"/>
      <c r="G2325" s="32"/>
      <c r="H2325" s="32"/>
      <c r="K2325" s="41"/>
      <c r="M2325" s="41"/>
      <c r="N2325" s="42"/>
    </row>
    <row r="2326">
      <c r="A2326" s="31"/>
      <c r="B2326" s="31"/>
      <c r="C2326" s="32"/>
      <c r="D2326" s="40"/>
      <c r="E2326" s="32"/>
      <c r="F2326" s="34"/>
      <c r="G2326" s="32"/>
      <c r="H2326" s="32"/>
      <c r="K2326" s="41"/>
      <c r="M2326" s="41"/>
      <c r="N2326" s="42"/>
    </row>
    <row r="2327">
      <c r="A2327" s="31"/>
      <c r="B2327" s="31"/>
      <c r="C2327" s="32"/>
      <c r="D2327" s="40"/>
      <c r="E2327" s="32"/>
      <c r="F2327" s="34"/>
      <c r="G2327" s="32"/>
      <c r="H2327" s="32"/>
      <c r="K2327" s="41"/>
      <c r="M2327" s="41"/>
      <c r="N2327" s="42"/>
    </row>
    <row r="2328">
      <c r="A2328" s="31"/>
      <c r="B2328" s="31"/>
      <c r="C2328" s="32"/>
      <c r="D2328" s="40"/>
      <c r="E2328" s="32"/>
      <c r="F2328" s="34"/>
      <c r="G2328" s="32"/>
      <c r="H2328" s="32"/>
      <c r="K2328" s="41"/>
      <c r="M2328" s="41"/>
      <c r="N2328" s="42"/>
    </row>
    <row r="2329">
      <c r="A2329" s="31"/>
      <c r="B2329" s="31"/>
      <c r="C2329" s="32"/>
      <c r="D2329" s="40"/>
      <c r="E2329" s="32"/>
      <c r="F2329" s="34"/>
      <c r="G2329" s="32"/>
      <c r="H2329" s="32"/>
      <c r="K2329" s="41"/>
      <c r="M2329" s="41"/>
      <c r="N2329" s="42"/>
    </row>
    <row r="2330">
      <c r="A2330" s="31"/>
      <c r="B2330" s="31"/>
      <c r="C2330" s="32"/>
      <c r="D2330" s="40"/>
      <c r="E2330" s="32"/>
      <c r="F2330" s="34"/>
      <c r="G2330" s="32"/>
      <c r="H2330" s="32"/>
      <c r="K2330" s="41"/>
      <c r="M2330" s="41"/>
      <c r="N2330" s="42"/>
    </row>
    <row r="2331">
      <c r="A2331" s="31"/>
      <c r="B2331" s="31"/>
      <c r="C2331" s="32"/>
      <c r="D2331" s="40"/>
      <c r="E2331" s="32"/>
      <c r="F2331" s="34"/>
      <c r="G2331" s="32"/>
      <c r="H2331" s="32"/>
      <c r="K2331" s="41"/>
      <c r="M2331" s="41"/>
      <c r="N2331" s="42"/>
    </row>
    <row r="2332">
      <c r="A2332" s="31"/>
      <c r="B2332" s="31"/>
      <c r="C2332" s="32"/>
      <c r="D2332" s="40"/>
      <c r="E2332" s="32"/>
      <c r="F2332" s="34"/>
      <c r="G2332" s="32"/>
      <c r="H2332" s="32"/>
      <c r="K2332" s="41"/>
      <c r="M2332" s="41"/>
      <c r="N2332" s="42"/>
    </row>
    <row r="2333">
      <c r="A2333" s="31"/>
      <c r="B2333" s="31"/>
      <c r="C2333" s="32"/>
      <c r="D2333" s="40"/>
      <c r="E2333" s="32"/>
      <c r="F2333" s="34"/>
      <c r="G2333" s="32"/>
      <c r="H2333" s="32"/>
      <c r="K2333" s="41"/>
      <c r="M2333" s="41"/>
      <c r="N2333" s="42"/>
    </row>
    <row r="2334">
      <c r="A2334" s="31"/>
      <c r="B2334" s="31"/>
      <c r="C2334" s="32"/>
      <c r="D2334" s="40"/>
      <c r="E2334" s="32"/>
      <c r="F2334" s="34"/>
      <c r="G2334" s="32"/>
      <c r="H2334" s="32"/>
      <c r="K2334" s="41"/>
      <c r="M2334" s="41"/>
      <c r="N2334" s="42"/>
    </row>
    <row r="2335">
      <c r="A2335" s="31"/>
      <c r="B2335" s="31"/>
      <c r="C2335" s="32"/>
      <c r="D2335" s="40"/>
      <c r="E2335" s="32"/>
      <c r="F2335" s="34"/>
      <c r="G2335" s="32"/>
      <c r="H2335" s="32"/>
      <c r="K2335" s="41"/>
      <c r="M2335" s="41"/>
      <c r="N2335" s="42"/>
    </row>
    <row r="2336">
      <c r="A2336" s="31"/>
      <c r="B2336" s="31"/>
      <c r="C2336" s="32"/>
      <c r="D2336" s="40"/>
      <c r="E2336" s="32"/>
      <c r="F2336" s="34"/>
      <c r="G2336" s="32"/>
      <c r="H2336" s="32"/>
      <c r="K2336" s="41"/>
      <c r="M2336" s="41"/>
      <c r="N2336" s="42"/>
    </row>
    <row r="2337">
      <c r="A2337" s="31"/>
      <c r="B2337" s="31"/>
      <c r="C2337" s="32"/>
      <c r="D2337" s="40"/>
      <c r="E2337" s="32"/>
      <c r="F2337" s="34"/>
      <c r="G2337" s="32"/>
      <c r="H2337" s="32"/>
      <c r="K2337" s="41"/>
      <c r="M2337" s="41"/>
      <c r="N2337" s="42"/>
    </row>
    <row r="2338">
      <c r="A2338" s="31"/>
      <c r="B2338" s="31"/>
      <c r="C2338" s="32"/>
      <c r="D2338" s="40"/>
      <c r="E2338" s="32"/>
      <c r="F2338" s="34"/>
      <c r="G2338" s="32"/>
      <c r="H2338" s="32"/>
      <c r="K2338" s="41"/>
      <c r="M2338" s="41"/>
      <c r="N2338" s="42"/>
    </row>
    <row r="2339">
      <c r="A2339" s="31"/>
      <c r="B2339" s="31"/>
      <c r="C2339" s="32"/>
      <c r="D2339" s="40"/>
      <c r="E2339" s="32"/>
      <c r="F2339" s="34"/>
      <c r="G2339" s="32"/>
      <c r="H2339" s="32"/>
      <c r="K2339" s="41"/>
      <c r="M2339" s="41"/>
      <c r="N2339" s="42"/>
    </row>
    <row r="2340">
      <c r="A2340" s="31"/>
      <c r="B2340" s="31"/>
      <c r="C2340" s="32"/>
      <c r="D2340" s="40"/>
      <c r="E2340" s="32"/>
      <c r="F2340" s="34"/>
      <c r="G2340" s="32"/>
      <c r="H2340" s="32"/>
      <c r="K2340" s="41"/>
      <c r="M2340" s="41"/>
      <c r="N2340" s="42"/>
    </row>
    <row r="2341">
      <c r="A2341" s="31"/>
      <c r="B2341" s="31"/>
      <c r="C2341" s="32"/>
      <c r="D2341" s="40"/>
      <c r="E2341" s="32"/>
      <c r="F2341" s="34"/>
      <c r="G2341" s="32"/>
      <c r="H2341" s="32"/>
      <c r="K2341" s="41"/>
      <c r="M2341" s="41"/>
      <c r="N2341" s="42"/>
    </row>
    <row r="2342">
      <c r="A2342" s="31"/>
      <c r="B2342" s="31"/>
      <c r="C2342" s="32"/>
      <c r="D2342" s="40"/>
      <c r="E2342" s="32"/>
      <c r="F2342" s="34"/>
      <c r="G2342" s="32"/>
      <c r="H2342" s="32"/>
      <c r="K2342" s="41"/>
      <c r="M2342" s="41"/>
      <c r="N2342" s="42"/>
    </row>
    <row r="2343">
      <c r="A2343" s="31"/>
      <c r="B2343" s="31"/>
      <c r="C2343" s="32"/>
      <c r="D2343" s="40"/>
      <c r="E2343" s="32"/>
      <c r="F2343" s="34"/>
      <c r="G2343" s="32"/>
      <c r="H2343" s="32"/>
      <c r="K2343" s="41"/>
      <c r="M2343" s="41"/>
      <c r="N2343" s="42"/>
    </row>
    <row r="2344">
      <c r="A2344" s="31"/>
      <c r="B2344" s="31"/>
      <c r="C2344" s="32"/>
      <c r="D2344" s="40"/>
      <c r="E2344" s="32"/>
      <c r="F2344" s="34"/>
      <c r="G2344" s="32"/>
      <c r="H2344" s="32"/>
      <c r="K2344" s="41"/>
      <c r="M2344" s="41"/>
      <c r="N2344" s="42"/>
    </row>
    <row r="2345">
      <c r="A2345" s="31"/>
      <c r="B2345" s="31"/>
      <c r="C2345" s="32"/>
      <c r="D2345" s="40"/>
      <c r="E2345" s="32"/>
      <c r="F2345" s="34"/>
      <c r="G2345" s="32"/>
      <c r="H2345" s="32"/>
      <c r="K2345" s="41"/>
      <c r="M2345" s="41"/>
      <c r="N2345" s="42"/>
    </row>
    <row r="2346">
      <c r="A2346" s="31"/>
      <c r="B2346" s="31"/>
      <c r="C2346" s="32"/>
      <c r="D2346" s="40"/>
      <c r="E2346" s="32"/>
      <c r="F2346" s="34"/>
      <c r="G2346" s="32"/>
      <c r="H2346" s="32"/>
      <c r="K2346" s="41"/>
      <c r="M2346" s="41"/>
      <c r="N2346" s="42"/>
    </row>
    <row r="2347">
      <c r="A2347" s="31"/>
      <c r="B2347" s="31"/>
      <c r="C2347" s="32"/>
      <c r="D2347" s="40"/>
      <c r="E2347" s="32"/>
      <c r="F2347" s="34"/>
      <c r="G2347" s="32"/>
      <c r="H2347" s="32"/>
      <c r="K2347" s="41"/>
      <c r="M2347" s="41"/>
      <c r="N2347" s="42"/>
    </row>
    <row r="2348">
      <c r="A2348" s="31"/>
      <c r="B2348" s="31"/>
      <c r="C2348" s="32"/>
      <c r="D2348" s="40"/>
      <c r="E2348" s="32"/>
      <c r="F2348" s="34"/>
      <c r="G2348" s="32"/>
      <c r="H2348" s="32"/>
      <c r="K2348" s="41"/>
      <c r="M2348" s="41"/>
      <c r="N2348" s="42"/>
    </row>
    <row r="2349">
      <c r="A2349" s="31"/>
      <c r="B2349" s="31"/>
      <c r="C2349" s="32"/>
      <c r="D2349" s="40"/>
      <c r="E2349" s="32"/>
      <c r="F2349" s="34"/>
      <c r="G2349" s="32"/>
      <c r="H2349" s="32"/>
      <c r="K2349" s="41"/>
      <c r="M2349" s="41"/>
      <c r="N2349" s="42"/>
    </row>
    <row r="2350">
      <c r="A2350" s="31"/>
      <c r="B2350" s="31"/>
      <c r="C2350" s="32"/>
      <c r="D2350" s="40"/>
      <c r="E2350" s="32"/>
      <c r="F2350" s="34"/>
      <c r="G2350" s="32"/>
      <c r="H2350" s="32"/>
      <c r="K2350" s="41"/>
      <c r="M2350" s="41"/>
      <c r="N2350" s="42"/>
    </row>
    <row r="2351">
      <c r="A2351" s="31"/>
      <c r="B2351" s="31"/>
      <c r="C2351" s="32"/>
      <c r="D2351" s="40"/>
      <c r="E2351" s="32"/>
      <c r="F2351" s="34"/>
      <c r="G2351" s="32"/>
      <c r="H2351" s="32"/>
      <c r="K2351" s="41"/>
      <c r="M2351" s="41"/>
      <c r="N2351" s="42"/>
    </row>
    <row r="2352">
      <c r="A2352" s="31"/>
      <c r="B2352" s="31"/>
      <c r="C2352" s="32"/>
      <c r="D2352" s="40"/>
      <c r="E2352" s="32"/>
      <c r="F2352" s="34"/>
      <c r="G2352" s="32"/>
      <c r="H2352" s="32"/>
      <c r="K2352" s="41"/>
      <c r="M2352" s="41"/>
      <c r="N2352" s="42"/>
    </row>
    <row r="2353">
      <c r="A2353" s="31"/>
      <c r="B2353" s="31"/>
      <c r="C2353" s="32"/>
      <c r="D2353" s="40"/>
      <c r="E2353" s="32"/>
      <c r="F2353" s="34"/>
      <c r="G2353" s="32"/>
      <c r="H2353" s="32"/>
      <c r="K2353" s="41"/>
      <c r="M2353" s="41"/>
      <c r="N2353" s="42"/>
    </row>
    <row r="2354">
      <c r="A2354" s="31"/>
      <c r="B2354" s="31"/>
      <c r="C2354" s="32"/>
      <c r="D2354" s="40"/>
      <c r="E2354" s="32"/>
      <c r="F2354" s="34"/>
      <c r="G2354" s="32"/>
      <c r="H2354" s="32"/>
      <c r="K2354" s="41"/>
      <c r="M2354" s="41"/>
      <c r="N2354" s="42"/>
    </row>
    <row r="2355">
      <c r="A2355" s="31"/>
      <c r="B2355" s="31"/>
      <c r="C2355" s="32"/>
      <c r="D2355" s="40"/>
      <c r="E2355" s="32"/>
      <c r="F2355" s="34"/>
      <c r="G2355" s="32"/>
      <c r="H2355" s="32"/>
      <c r="K2355" s="41"/>
      <c r="M2355" s="41"/>
      <c r="N2355" s="42"/>
    </row>
    <row r="2356">
      <c r="A2356" s="31"/>
      <c r="B2356" s="31"/>
      <c r="C2356" s="32"/>
      <c r="D2356" s="40"/>
      <c r="E2356" s="32"/>
      <c r="F2356" s="34"/>
      <c r="G2356" s="32"/>
      <c r="H2356" s="32"/>
      <c r="K2356" s="41"/>
      <c r="M2356" s="41"/>
      <c r="N2356" s="42"/>
    </row>
    <row r="2357">
      <c r="A2357" s="31"/>
      <c r="B2357" s="31"/>
      <c r="C2357" s="32"/>
      <c r="D2357" s="40"/>
      <c r="E2357" s="32"/>
      <c r="F2357" s="34"/>
      <c r="G2357" s="32"/>
      <c r="H2357" s="32"/>
      <c r="K2357" s="41"/>
      <c r="M2357" s="41"/>
      <c r="N2357" s="42"/>
    </row>
    <row r="2358">
      <c r="A2358" s="31"/>
      <c r="B2358" s="31"/>
      <c r="C2358" s="32"/>
      <c r="D2358" s="40"/>
      <c r="E2358" s="32"/>
      <c r="F2358" s="34"/>
      <c r="G2358" s="32"/>
      <c r="H2358" s="32"/>
      <c r="K2358" s="41"/>
      <c r="M2358" s="41"/>
      <c r="N2358" s="42"/>
    </row>
    <row r="2359">
      <c r="A2359" s="31"/>
      <c r="B2359" s="31"/>
      <c r="C2359" s="32"/>
      <c r="D2359" s="40"/>
      <c r="E2359" s="32"/>
      <c r="F2359" s="34"/>
      <c r="G2359" s="32"/>
      <c r="H2359" s="32"/>
      <c r="K2359" s="41"/>
      <c r="M2359" s="41"/>
      <c r="N2359" s="42"/>
    </row>
    <row r="2360">
      <c r="A2360" s="31"/>
      <c r="B2360" s="31"/>
      <c r="C2360" s="32"/>
      <c r="D2360" s="40"/>
      <c r="E2360" s="32"/>
      <c r="F2360" s="34"/>
      <c r="G2360" s="32"/>
      <c r="H2360" s="32"/>
      <c r="K2360" s="41"/>
      <c r="M2360" s="41"/>
      <c r="N2360" s="42"/>
    </row>
    <row r="2361">
      <c r="A2361" s="31"/>
      <c r="B2361" s="31"/>
      <c r="C2361" s="32"/>
      <c r="D2361" s="40"/>
      <c r="E2361" s="32"/>
      <c r="F2361" s="34"/>
      <c r="G2361" s="32"/>
      <c r="H2361" s="32"/>
      <c r="K2361" s="41"/>
      <c r="M2361" s="41"/>
      <c r="N2361" s="42"/>
    </row>
    <row r="2362">
      <c r="A2362" s="31"/>
      <c r="B2362" s="31"/>
      <c r="C2362" s="32"/>
      <c r="D2362" s="40"/>
      <c r="E2362" s="32"/>
      <c r="F2362" s="34"/>
      <c r="G2362" s="32"/>
      <c r="H2362" s="32"/>
      <c r="K2362" s="41"/>
      <c r="M2362" s="41"/>
      <c r="N2362" s="42"/>
    </row>
    <row r="2363">
      <c r="A2363" s="31"/>
      <c r="B2363" s="31"/>
      <c r="C2363" s="32"/>
      <c r="D2363" s="40"/>
      <c r="E2363" s="32"/>
      <c r="F2363" s="34"/>
      <c r="G2363" s="32"/>
      <c r="H2363" s="32"/>
      <c r="K2363" s="41"/>
      <c r="M2363" s="41"/>
      <c r="N2363" s="42"/>
    </row>
    <row r="2364">
      <c r="A2364" s="31"/>
      <c r="B2364" s="31"/>
      <c r="C2364" s="32"/>
      <c r="D2364" s="40"/>
      <c r="E2364" s="32"/>
      <c r="F2364" s="34"/>
      <c r="G2364" s="32"/>
      <c r="H2364" s="32"/>
      <c r="K2364" s="41"/>
      <c r="M2364" s="41"/>
      <c r="N2364" s="42"/>
    </row>
    <row r="2365">
      <c r="A2365" s="31"/>
      <c r="B2365" s="31"/>
      <c r="C2365" s="32"/>
      <c r="D2365" s="40"/>
      <c r="E2365" s="32"/>
      <c r="F2365" s="34"/>
      <c r="G2365" s="32"/>
      <c r="H2365" s="32"/>
      <c r="K2365" s="41"/>
      <c r="M2365" s="41"/>
      <c r="N2365" s="42"/>
    </row>
    <row r="2366">
      <c r="A2366" s="31"/>
      <c r="B2366" s="31"/>
      <c r="C2366" s="32"/>
      <c r="D2366" s="40"/>
      <c r="E2366" s="32"/>
      <c r="F2366" s="34"/>
      <c r="G2366" s="32"/>
      <c r="H2366" s="32"/>
      <c r="K2366" s="41"/>
      <c r="M2366" s="41"/>
      <c r="N2366" s="42"/>
    </row>
    <row r="2367">
      <c r="A2367" s="31"/>
      <c r="B2367" s="31"/>
      <c r="C2367" s="32"/>
      <c r="D2367" s="40"/>
      <c r="E2367" s="32"/>
      <c r="F2367" s="34"/>
      <c r="G2367" s="32"/>
      <c r="H2367" s="32"/>
      <c r="K2367" s="41"/>
      <c r="M2367" s="41"/>
      <c r="N2367" s="42"/>
    </row>
    <row r="2368">
      <c r="A2368" s="31"/>
      <c r="B2368" s="31"/>
      <c r="C2368" s="32"/>
      <c r="D2368" s="40"/>
      <c r="E2368" s="32"/>
      <c r="F2368" s="34"/>
      <c r="G2368" s="32"/>
      <c r="H2368" s="32"/>
      <c r="K2368" s="41"/>
      <c r="M2368" s="41"/>
      <c r="N2368" s="42"/>
    </row>
    <row r="2369">
      <c r="A2369" s="31"/>
      <c r="B2369" s="31"/>
      <c r="C2369" s="32"/>
      <c r="D2369" s="40"/>
      <c r="E2369" s="32"/>
      <c r="F2369" s="34"/>
      <c r="G2369" s="32"/>
      <c r="H2369" s="32"/>
      <c r="K2369" s="41"/>
      <c r="M2369" s="41"/>
      <c r="N2369" s="42"/>
    </row>
    <row r="2370">
      <c r="A2370" s="31"/>
      <c r="B2370" s="31"/>
      <c r="C2370" s="32"/>
      <c r="D2370" s="40"/>
      <c r="E2370" s="32"/>
      <c r="F2370" s="34"/>
      <c r="G2370" s="32"/>
      <c r="H2370" s="32"/>
      <c r="K2370" s="41"/>
      <c r="M2370" s="41"/>
      <c r="N2370" s="42"/>
    </row>
    <row r="2371">
      <c r="A2371" s="31"/>
      <c r="B2371" s="31"/>
      <c r="C2371" s="32"/>
      <c r="D2371" s="40"/>
      <c r="E2371" s="32"/>
      <c r="F2371" s="34"/>
      <c r="G2371" s="32"/>
      <c r="H2371" s="32"/>
      <c r="K2371" s="41"/>
      <c r="M2371" s="41"/>
      <c r="N2371" s="42"/>
    </row>
    <row r="2372">
      <c r="A2372" s="31"/>
      <c r="B2372" s="31"/>
      <c r="C2372" s="32"/>
      <c r="D2372" s="40"/>
      <c r="E2372" s="32"/>
      <c r="F2372" s="34"/>
      <c r="G2372" s="32"/>
      <c r="H2372" s="32"/>
      <c r="K2372" s="41"/>
      <c r="M2372" s="41"/>
      <c r="N2372" s="42"/>
    </row>
    <row r="2373">
      <c r="A2373" s="31"/>
      <c r="B2373" s="31"/>
      <c r="C2373" s="32"/>
      <c r="D2373" s="40"/>
      <c r="E2373" s="32"/>
      <c r="F2373" s="34"/>
      <c r="G2373" s="32"/>
      <c r="H2373" s="32"/>
      <c r="K2373" s="41"/>
      <c r="M2373" s="41"/>
      <c r="N2373" s="42"/>
    </row>
    <row r="2374">
      <c r="A2374" s="31"/>
      <c r="B2374" s="31"/>
      <c r="C2374" s="32"/>
      <c r="D2374" s="40"/>
      <c r="E2374" s="32"/>
      <c r="F2374" s="34"/>
      <c r="G2374" s="32"/>
      <c r="H2374" s="32"/>
      <c r="K2374" s="41"/>
      <c r="M2374" s="41"/>
      <c r="N2374" s="42"/>
    </row>
    <row r="2375">
      <c r="A2375" s="31"/>
      <c r="B2375" s="31"/>
      <c r="C2375" s="32"/>
      <c r="D2375" s="40"/>
      <c r="E2375" s="32"/>
      <c r="F2375" s="34"/>
      <c r="G2375" s="32"/>
      <c r="H2375" s="32"/>
      <c r="K2375" s="41"/>
      <c r="M2375" s="41"/>
      <c r="N2375" s="42"/>
    </row>
    <row r="2376">
      <c r="A2376" s="31"/>
      <c r="B2376" s="31"/>
      <c r="C2376" s="32"/>
      <c r="D2376" s="40"/>
      <c r="E2376" s="32"/>
      <c r="F2376" s="34"/>
      <c r="G2376" s="32"/>
      <c r="H2376" s="32"/>
      <c r="K2376" s="41"/>
      <c r="M2376" s="41"/>
      <c r="N2376" s="42"/>
    </row>
    <row r="2377">
      <c r="A2377" s="31"/>
      <c r="B2377" s="31"/>
      <c r="C2377" s="32"/>
      <c r="D2377" s="40"/>
      <c r="E2377" s="32"/>
      <c r="F2377" s="34"/>
      <c r="G2377" s="32"/>
      <c r="H2377" s="32"/>
      <c r="K2377" s="41"/>
      <c r="M2377" s="41"/>
      <c r="N2377" s="42"/>
    </row>
    <row r="2378">
      <c r="A2378" s="31"/>
      <c r="B2378" s="31"/>
      <c r="C2378" s="32"/>
      <c r="D2378" s="40"/>
      <c r="E2378" s="32"/>
      <c r="F2378" s="34"/>
      <c r="G2378" s="32"/>
      <c r="H2378" s="32"/>
      <c r="K2378" s="41"/>
      <c r="M2378" s="41"/>
      <c r="N2378" s="42"/>
    </row>
    <row r="2379">
      <c r="A2379" s="31"/>
      <c r="B2379" s="31"/>
      <c r="C2379" s="32"/>
      <c r="D2379" s="40"/>
      <c r="E2379" s="32"/>
      <c r="F2379" s="34"/>
      <c r="G2379" s="32"/>
      <c r="H2379" s="32"/>
      <c r="K2379" s="41"/>
      <c r="M2379" s="41"/>
      <c r="N2379" s="42"/>
    </row>
    <row r="2380">
      <c r="A2380" s="31"/>
      <c r="B2380" s="31"/>
      <c r="C2380" s="32"/>
      <c r="D2380" s="40"/>
      <c r="E2380" s="32"/>
      <c r="F2380" s="34"/>
      <c r="G2380" s="32"/>
      <c r="H2380" s="32"/>
      <c r="K2380" s="41"/>
      <c r="M2380" s="41"/>
      <c r="N2380" s="42"/>
    </row>
    <row r="2381">
      <c r="A2381" s="31"/>
      <c r="B2381" s="31"/>
      <c r="C2381" s="32"/>
      <c r="D2381" s="40"/>
      <c r="E2381" s="32"/>
      <c r="F2381" s="34"/>
      <c r="G2381" s="32"/>
      <c r="H2381" s="32"/>
      <c r="K2381" s="41"/>
      <c r="M2381" s="41"/>
      <c r="N2381" s="42"/>
    </row>
    <row r="2382">
      <c r="A2382" s="31"/>
      <c r="B2382" s="31"/>
      <c r="C2382" s="32"/>
      <c r="D2382" s="40"/>
      <c r="E2382" s="32"/>
      <c r="F2382" s="34"/>
      <c r="G2382" s="32"/>
      <c r="H2382" s="32"/>
      <c r="K2382" s="41"/>
      <c r="M2382" s="41"/>
      <c r="N2382" s="42"/>
    </row>
    <row r="2383">
      <c r="A2383" s="31"/>
      <c r="B2383" s="31"/>
      <c r="C2383" s="32"/>
      <c r="D2383" s="40"/>
      <c r="E2383" s="32"/>
      <c r="F2383" s="34"/>
      <c r="G2383" s="32"/>
      <c r="H2383" s="32"/>
      <c r="K2383" s="41"/>
      <c r="M2383" s="41"/>
      <c r="N2383" s="42"/>
    </row>
    <row r="2384">
      <c r="A2384" s="31"/>
      <c r="B2384" s="31"/>
      <c r="C2384" s="32"/>
      <c r="D2384" s="40"/>
      <c r="E2384" s="32"/>
      <c r="F2384" s="34"/>
      <c r="G2384" s="32"/>
      <c r="H2384" s="32"/>
      <c r="K2384" s="41"/>
      <c r="M2384" s="41"/>
      <c r="N2384" s="42"/>
    </row>
    <row r="2385">
      <c r="A2385" s="31"/>
      <c r="B2385" s="31"/>
      <c r="C2385" s="32"/>
      <c r="D2385" s="40"/>
      <c r="E2385" s="32"/>
      <c r="F2385" s="34"/>
      <c r="G2385" s="32"/>
      <c r="H2385" s="32"/>
      <c r="K2385" s="41"/>
      <c r="M2385" s="41"/>
      <c r="N2385" s="42"/>
    </row>
    <row r="2386">
      <c r="A2386" s="31"/>
      <c r="B2386" s="31"/>
      <c r="C2386" s="32"/>
      <c r="D2386" s="40"/>
      <c r="E2386" s="32"/>
      <c r="F2386" s="34"/>
      <c r="G2386" s="32"/>
      <c r="H2386" s="32"/>
      <c r="K2386" s="41"/>
      <c r="M2386" s="41"/>
      <c r="N2386" s="42"/>
    </row>
    <row r="2387">
      <c r="A2387" s="31"/>
      <c r="B2387" s="31"/>
      <c r="C2387" s="32"/>
      <c r="D2387" s="40"/>
      <c r="E2387" s="32"/>
      <c r="F2387" s="34"/>
      <c r="G2387" s="32"/>
      <c r="H2387" s="32"/>
      <c r="K2387" s="41"/>
      <c r="M2387" s="41"/>
      <c r="N2387" s="42"/>
    </row>
    <row r="2388">
      <c r="A2388" s="31"/>
      <c r="B2388" s="31"/>
      <c r="C2388" s="32"/>
      <c r="D2388" s="40"/>
      <c r="E2388" s="32"/>
      <c r="F2388" s="34"/>
      <c r="G2388" s="32"/>
      <c r="H2388" s="32"/>
      <c r="K2388" s="41"/>
      <c r="M2388" s="41"/>
      <c r="N2388" s="42"/>
    </row>
    <row r="2389">
      <c r="A2389" s="31"/>
      <c r="B2389" s="31"/>
      <c r="C2389" s="32"/>
      <c r="D2389" s="40"/>
      <c r="E2389" s="32"/>
      <c r="F2389" s="34"/>
      <c r="G2389" s="32"/>
      <c r="H2389" s="32"/>
      <c r="K2389" s="41"/>
      <c r="M2389" s="41"/>
      <c r="N2389" s="42"/>
    </row>
    <row r="2390">
      <c r="A2390" s="31"/>
      <c r="B2390" s="31"/>
      <c r="C2390" s="32"/>
      <c r="D2390" s="40"/>
      <c r="E2390" s="32"/>
      <c r="F2390" s="34"/>
      <c r="G2390" s="32"/>
      <c r="H2390" s="32"/>
      <c r="K2390" s="41"/>
      <c r="M2390" s="41"/>
      <c r="N2390" s="42"/>
    </row>
    <row r="2391">
      <c r="A2391" s="31"/>
      <c r="B2391" s="31"/>
      <c r="C2391" s="32"/>
      <c r="D2391" s="40"/>
      <c r="E2391" s="32"/>
      <c r="F2391" s="34"/>
      <c r="G2391" s="32"/>
      <c r="H2391" s="32"/>
      <c r="K2391" s="41"/>
      <c r="M2391" s="41"/>
      <c r="N2391" s="42"/>
    </row>
    <row r="2392">
      <c r="A2392" s="31"/>
      <c r="B2392" s="31"/>
      <c r="C2392" s="32"/>
      <c r="D2392" s="40"/>
      <c r="E2392" s="32"/>
      <c r="F2392" s="34"/>
      <c r="G2392" s="32"/>
      <c r="H2392" s="32"/>
      <c r="K2392" s="41"/>
      <c r="M2392" s="41"/>
      <c r="N2392" s="42"/>
    </row>
    <row r="2393">
      <c r="A2393" s="31"/>
      <c r="B2393" s="31"/>
      <c r="C2393" s="32"/>
      <c r="D2393" s="40"/>
      <c r="E2393" s="32"/>
      <c r="F2393" s="34"/>
      <c r="G2393" s="32"/>
      <c r="H2393" s="32"/>
      <c r="K2393" s="41"/>
      <c r="M2393" s="41"/>
      <c r="N2393" s="42"/>
    </row>
    <row r="2394">
      <c r="A2394" s="31"/>
      <c r="B2394" s="31"/>
      <c r="C2394" s="32"/>
      <c r="D2394" s="40"/>
      <c r="E2394" s="32"/>
      <c r="F2394" s="34"/>
      <c r="G2394" s="32"/>
      <c r="H2394" s="32"/>
      <c r="K2394" s="41"/>
      <c r="M2394" s="41"/>
      <c r="N2394" s="42"/>
    </row>
    <row r="2395">
      <c r="A2395" s="31"/>
      <c r="B2395" s="31"/>
      <c r="C2395" s="32"/>
      <c r="D2395" s="40"/>
      <c r="E2395" s="32"/>
      <c r="F2395" s="34"/>
      <c r="G2395" s="32"/>
      <c r="H2395" s="32"/>
      <c r="K2395" s="41"/>
      <c r="M2395" s="41"/>
      <c r="N2395" s="42"/>
    </row>
    <row r="2396">
      <c r="A2396" s="31"/>
      <c r="B2396" s="31"/>
      <c r="C2396" s="32"/>
      <c r="D2396" s="40"/>
      <c r="E2396" s="32"/>
      <c r="F2396" s="34"/>
      <c r="G2396" s="32"/>
      <c r="H2396" s="32"/>
      <c r="K2396" s="41"/>
      <c r="M2396" s="41"/>
      <c r="N2396" s="42"/>
    </row>
    <row r="2397">
      <c r="A2397" s="31"/>
      <c r="B2397" s="31"/>
      <c r="C2397" s="32"/>
      <c r="D2397" s="40"/>
      <c r="E2397" s="32"/>
      <c r="F2397" s="34"/>
      <c r="G2397" s="32"/>
      <c r="H2397" s="32"/>
      <c r="K2397" s="41"/>
      <c r="M2397" s="41"/>
      <c r="N2397" s="42"/>
    </row>
    <row r="2398">
      <c r="A2398" s="31"/>
      <c r="B2398" s="31"/>
      <c r="C2398" s="32"/>
      <c r="D2398" s="40"/>
      <c r="E2398" s="32"/>
      <c r="F2398" s="34"/>
      <c r="G2398" s="32"/>
      <c r="H2398" s="32"/>
      <c r="K2398" s="41"/>
      <c r="M2398" s="41"/>
      <c r="N2398" s="42"/>
    </row>
    <row r="2399">
      <c r="A2399" s="31"/>
      <c r="B2399" s="31"/>
      <c r="C2399" s="32"/>
      <c r="D2399" s="40"/>
      <c r="E2399" s="32"/>
      <c r="F2399" s="34"/>
      <c r="G2399" s="32"/>
      <c r="H2399" s="32"/>
      <c r="K2399" s="41"/>
      <c r="M2399" s="41"/>
      <c r="N2399" s="42"/>
    </row>
    <row r="2400">
      <c r="A2400" s="31"/>
      <c r="B2400" s="31"/>
      <c r="C2400" s="32"/>
      <c r="D2400" s="40"/>
      <c r="E2400" s="32"/>
      <c r="F2400" s="34"/>
      <c r="G2400" s="32"/>
      <c r="H2400" s="32"/>
      <c r="K2400" s="41"/>
      <c r="M2400" s="41"/>
      <c r="N2400" s="42"/>
    </row>
    <row r="2401">
      <c r="A2401" s="31"/>
      <c r="B2401" s="31"/>
      <c r="C2401" s="32"/>
      <c r="D2401" s="40"/>
      <c r="E2401" s="32"/>
      <c r="F2401" s="34"/>
      <c r="G2401" s="32"/>
      <c r="H2401" s="32"/>
      <c r="K2401" s="41"/>
      <c r="M2401" s="41"/>
      <c r="N2401" s="42"/>
    </row>
    <row r="2402">
      <c r="A2402" s="31"/>
      <c r="B2402" s="31"/>
      <c r="C2402" s="32"/>
      <c r="D2402" s="40"/>
      <c r="E2402" s="32"/>
      <c r="F2402" s="34"/>
      <c r="G2402" s="32"/>
      <c r="H2402" s="32"/>
      <c r="K2402" s="41"/>
      <c r="M2402" s="41"/>
      <c r="N2402" s="42"/>
    </row>
    <row r="2403">
      <c r="A2403" s="31"/>
      <c r="B2403" s="31"/>
      <c r="C2403" s="32"/>
      <c r="D2403" s="40"/>
      <c r="E2403" s="32"/>
      <c r="F2403" s="34"/>
      <c r="G2403" s="32"/>
      <c r="H2403" s="32"/>
      <c r="K2403" s="41"/>
      <c r="M2403" s="41"/>
      <c r="N2403" s="42"/>
    </row>
    <row r="2404">
      <c r="A2404" s="31"/>
      <c r="B2404" s="31"/>
      <c r="C2404" s="32"/>
      <c r="D2404" s="40"/>
      <c r="E2404" s="32"/>
      <c r="F2404" s="34"/>
      <c r="G2404" s="32"/>
      <c r="H2404" s="32"/>
      <c r="K2404" s="41"/>
      <c r="M2404" s="41"/>
      <c r="N2404" s="42"/>
    </row>
    <row r="2405">
      <c r="A2405" s="31"/>
      <c r="B2405" s="31"/>
      <c r="C2405" s="32"/>
      <c r="D2405" s="40"/>
      <c r="E2405" s="32"/>
      <c r="F2405" s="34"/>
      <c r="G2405" s="32"/>
      <c r="H2405" s="32"/>
      <c r="K2405" s="41"/>
      <c r="M2405" s="41"/>
      <c r="N2405" s="42"/>
    </row>
    <row r="2406">
      <c r="A2406" s="31"/>
      <c r="B2406" s="31"/>
      <c r="C2406" s="32"/>
      <c r="D2406" s="40"/>
      <c r="E2406" s="32"/>
      <c r="F2406" s="34"/>
      <c r="G2406" s="32"/>
      <c r="H2406" s="32"/>
      <c r="K2406" s="41"/>
      <c r="M2406" s="41"/>
      <c r="N2406" s="42"/>
    </row>
    <row r="2407">
      <c r="A2407" s="31"/>
      <c r="B2407" s="31"/>
      <c r="C2407" s="32"/>
      <c r="D2407" s="40"/>
      <c r="E2407" s="32"/>
      <c r="F2407" s="34"/>
      <c r="G2407" s="32"/>
      <c r="H2407" s="32"/>
      <c r="K2407" s="41"/>
      <c r="M2407" s="41"/>
      <c r="N2407" s="42"/>
    </row>
    <row r="2408">
      <c r="A2408" s="31"/>
      <c r="B2408" s="31"/>
      <c r="C2408" s="32"/>
      <c r="D2408" s="40"/>
      <c r="E2408" s="32"/>
      <c r="F2408" s="34"/>
      <c r="G2408" s="32"/>
      <c r="H2408" s="32"/>
      <c r="K2408" s="41"/>
      <c r="M2408" s="41"/>
      <c r="N2408" s="42"/>
    </row>
    <row r="2409">
      <c r="A2409" s="31"/>
      <c r="B2409" s="31"/>
      <c r="C2409" s="32"/>
      <c r="D2409" s="40"/>
      <c r="E2409" s="32"/>
      <c r="F2409" s="34"/>
      <c r="G2409" s="32"/>
      <c r="H2409" s="32"/>
      <c r="K2409" s="41"/>
      <c r="M2409" s="41"/>
      <c r="N2409" s="42"/>
    </row>
    <row r="2410">
      <c r="A2410" s="31"/>
      <c r="B2410" s="31"/>
      <c r="C2410" s="32"/>
      <c r="D2410" s="40"/>
      <c r="E2410" s="32"/>
      <c r="F2410" s="34"/>
      <c r="G2410" s="32"/>
      <c r="H2410" s="32"/>
      <c r="K2410" s="41"/>
      <c r="M2410" s="41"/>
      <c r="N2410" s="42"/>
    </row>
    <row r="2411">
      <c r="A2411" s="31"/>
      <c r="B2411" s="31"/>
      <c r="C2411" s="32"/>
      <c r="D2411" s="40"/>
      <c r="E2411" s="32"/>
      <c r="F2411" s="34"/>
      <c r="G2411" s="32"/>
      <c r="H2411" s="32"/>
      <c r="K2411" s="41"/>
      <c r="M2411" s="41"/>
      <c r="N2411" s="42"/>
    </row>
    <row r="2412">
      <c r="A2412" s="31"/>
      <c r="B2412" s="31"/>
      <c r="C2412" s="32"/>
      <c r="D2412" s="40"/>
      <c r="E2412" s="32"/>
      <c r="F2412" s="34"/>
      <c r="G2412" s="32"/>
      <c r="H2412" s="32"/>
      <c r="K2412" s="41"/>
      <c r="M2412" s="41"/>
      <c r="N2412" s="42"/>
    </row>
    <row r="2413">
      <c r="A2413" s="31"/>
      <c r="B2413" s="31"/>
      <c r="C2413" s="32"/>
      <c r="D2413" s="40"/>
      <c r="E2413" s="32"/>
      <c r="F2413" s="34"/>
      <c r="G2413" s="32"/>
      <c r="H2413" s="32"/>
      <c r="K2413" s="41"/>
      <c r="M2413" s="41"/>
      <c r="N2413" s="42"/>
    </row>
    <row r="2414">
      <c r="A2414" s="31"/>
      <c r="B2414" s="31"/>
      <c r="C2414" s="32"/>
      <c r="D2414" s="40"/>
      <c r="E2414" s="32"/>
      <c r="F2414" s="34"/>
      <c r="G2414" s="32"/>
      <c r="H2414" s="32"/>
      <c r="K2414" s="41"/>
      <c r="M2414" s="41"/>
      <c r="N2414" s="42"/>
    </row>
    <row r="2415">
      <c r="A2415" s="31"/>
      <c r="B2415" s="31"/>
      <c r="C2415" s="32"/>
      <c r="D2415" s="40"/>
      <c r="E2415" s="32"/>
      <c r="F2415" s="34"/>
      <c r="G2415" s="32"/>
      <c r="H2415" s="32"/>
      <c r="K2415" s="41"/>
      <c r="M2415" s="41"/>
      <c r="N2415" s="42"/>
    </row>
    <row r="2416">
      <c r="A2416" s="31"/>
      <c r="B2416" s="31"/>
      <c r="C2416" s="32"/>
      <c r="D2416" s="40"/>
      <c r="E2416" s="32"/>
      <c r="F2416" s="34"/>
      <c r="G2416" s="32"/>
      <c r="H2416" s="32"/>
      <c r="K2416" s="41"/>
      <c r="M2416" s="41"/>
      <c r="N2416" s="42"/>
    </row>
    <row r="2417">
      <c r="A2417" s="31"/>
      <c r="B2417" s="31"/>
      <c r="C2417" s="32"/>
      <c r="D2417" s="40"/>
      <c r="E2417" s="32"/>
      <c r="F2417" s="34"/>
      <c r="G2417" s="32"/>
      <c r="H2417" s="32"/>
      <c r="K2417" s="41"/>
      <c r="M2417" s="41"/>
      <c r="N2417" s="42"/>
    </row>
    <row r="2418">
      <c r="A2418" s="31"/>
      <c r="B2418" s="31"/>
      <c r="C2418" s="32"/>
      <c r="D2418" s="40"/>
      <c r="E2418" s="32"/>
      <c r="F2418" s="34"/>
      <c r="G2418" s="32"/>
      <c r="H2418" s="32"/>
      <c r="K2418" s="41"/>
      <c r="M2418" s="41"/>
      <c r="N2418" s="42"/>
    </row>
    <row r="2419">
      <c r="A2419" s="31"/>
      <c r="B2419" s="31"/>
      <c r="C2419" s="32"/>
      <c r="D2419" s="40"/>
      <c r="E2419" s="32"/>
      <c r="F2419" s="34"/>
      <c r="G2419" s="32"/>
      <c r="H2419" s="32"/>
      <c r="K2419" s="41"/>
      <c r="M2419" s="41"/>
      <c r="N2419" s="42"/>
    </row>
    <row r="2420">
      <c r="A2420" s="31"/>
      <c r="B2420" s="31"/>
      <c r="C2420" s="32"/>
      <c r="D2420" s="40"/>
      <c r="E2420" s="32"/>
      <c r="F2420" s="34"/>
      <c r="G2420" s="32"/>
      <c r="H2420" s="32"/>
      <c r="K2420" s="41"/>
      <c r="M2420" s="41"/>
      <c r="N2420" s="42"/>
    </row>
    <row r="2421">
      <c r="A2421" s="31"/>
      <c r="B2421" s="31"/>
      <c r="C2421" s="32"/>
      <c r="D2421" s="40"/>
      <c r="E2421" s="32"/>
      <c r="F2421" s="34"/>
      <c r="G2421" s="32"/>
      <c r="H2421" s="32"/>
      <c r="K2421" s="41"/>
      <c r="M2421" s="41"/>
      <c r="N2421" s="42"/>
    </row>
    <row r="2422">
      <c r="A2422" s="31"/>
      <c r="B2422" s="31"/>
      <c r="C2422" s="32"/>
      <c r="D2422" s="40"/>
      <c r="E2422" s="32"/>
      <c r="F2422" s="34"/>
      <c r="G2422" s="32"/>
      <c r="H2422" s="32"/>
      <c r="K2422" s="41"/>
      <c r="M2422" s="41"/>
      <c r="N2422" s="42"/>
    </row>
    <row r="2423">
      <c r="A2423" s="31"/>
      <c r="B2423" s="31"/>
      <c r="C2423" s="32"/>
      <c r="D2423" s="40"/>
      <c r="E2423" s="32"/>
      <c r="F2423" s="34"/>
      <c r="G2423" s="32"/>
      <c r="H2423" s="32"/>
      <c r="K2423" s="41"/>
      <c r="M2423" s="41"/>
      <c r="N2423" s="42"/>
    </row>
    <row r="2424">
      <c r="A2424" s="31"/>
      <c r="B2424" s="31"/>
      <c r="C2424" s="32"/>
      <c r="D2424" s="40"/>
      <c r="E2424" s="32"/>
      <c r="F2424" s="34"/>
      <c r="G2424" s="32"/>
      <c r="H2424" s="32"/>
      <c r="K2424" s="41"/>
      <c r="M2424" s="41"/>
      <c r="N2424" s="42"/>
    </row>
    <row r="2425">
      <c r="A2425" s="31"/>
      <c r="B2425" s="31"/>
      <c r="C2425" s="32"/>
      <c r="D2425" s="40"/>
      <c r="E2425" s="32"/>
      <c r="F2425" s="34"/>
      <c r="G2425" s="32"/>
      <c r="H2425" s="32"/>
      <c r="K2425" s="41"/>
      <c r="M2425" s="41"/>
      <c r="N2425" s="42"/>
    </row>
    <row r="2426">
      <c r="A2426" s="31"/>
      <c r="B2426" s="31"/>
      <c r="C2426" s="32"/>
      <c r="D2426" s="40"/>
      <c r="E2426" s="32"/>
      <c r="F2426" s="34"/>
      <c r="G2426" s="32"/>
      <c r="H2426" s="32"/>
      <c r="K2426" s="41"/>
      <c r="M2426" s="41"/>
      <c r="N2426" s="42"/>
    </row>
    <row r="2427">
      <c r="A2427" s="31"/>
      <c r="B2427" s="31"/>
      <c r="C2427" s="32"/>
      <c r="D2427" s="40"/>
      <c r="E2427" s="32"/>
      <c r="F2427" s="34"/>
      <c r="G2427" s="32"/>
      <c r="H2427" s="32"/>
      <c r="K2427" s="41"/>
      <c r="M2427" s="41"/>
      <c r="N2427" s="42"/>
    </row>
    <row r="2428">
      <c r="A2428" s="31"/>
      <c r="B2428" s="31"/>
      <c r="C2428" s="32"/>
      <c r="D2428" s="40"/>
      <c r="E2428" s="32"/>
      <c r="F2428" s="34"/>
      <c r="G2428" s="32"/>
      <c r="H2428" s="32"/>
      <c r="K2428" s="41"/>
      <c r="M2428" s="41"/>
      <c r="N2428" s="42"/>
    </row>
    <row r="2429">
      <c r="A2429" s="31"/>
      <c r="B2429" s="31"/>
      <c r="C2429" s="32"/>
      <c r="D2429" s="40"/>
      <c r="E2429" s="32"/>
      <c r="F2429" s="34"/>
      <c r="G2429" s="32"/>
      <c r="H2429" s="32"/>
      <c r="K2429" s="41"/>
      <c r="M2429" s="41"/>
      <c r="N2429" s="42"/>
    </row>
    <row r="2430">
      <c r="A2430" s="31"/>
      <c r="B2430" s="31"/>
      <c r="C2430" s="32"/>
      <c r="D2430" s="40"/>
      <c r="E2430" s="32"/>
      <c r="F2430" s="34"/>
      <c r="G2430" s="32"/>
      <c r="H2430" s="32"/>
      <c r="K2430" s="41"/>
      <c r="M2430" s="41"/>
      <c r="N2430" s="42"/>
    </row>
    <row r="2431">
      <c r="A2431" s="31"/>
      <c r="B2431" s="31"/>
      <c r="C2431" s="32"/>
      <c r="D2431" s="40"/>
      <c r="E2431" s="32"/>
      <c r="F2431" s="34"/>
      <c r="G2431" s="32"/>
      <c r="H2431" s="32"/>
      <c r="K2431" s="41"/>
      <c r="M2431" s="41"/>
      <c r="N2431" s="42"/>
    </row>
    <row r="2432">
      <c r="A2432" s="31"/>
      <c r="B2432" s="31"/>
      <c r="C2432" s="32"/>
      <c r="D2432" s="40"/>
      <c r="E2432" s="32"/>
      <c r="F2432" s="34"/>
      <c r="G2432" s="32"/>
      <c r="H2432" s="32"/>
      <c r="K2432" s="41"/>
      <c r="M2432" s="41"/>
      <c r="N2432" s="42"/>
    </row>
    <row r="2433">
      <c r="A2433" s="31"/>
      <c r="B2433" s="31"/>
      <c r="C2433" s="32"/>
      <c r="D2433" s="40"/>
      <c r="E2433" s="32"/>
      <c r="F2433" s="34"/>
      <c r="G2433" s="32"/>
      <c r="H2433" s="32"/>
      <c r="K2433" s="41"/>
      <c r="M2433" s="41"/>
      <c r="N2433" s="42"/>
    </row>
    <row r="2434">
      <c r="A2434" s="31"/>
      <c r="B2434" s="31"/>
      <c r="C2434" s="32"/>
      <c r="D2434" s="40"/>
      <c r="E2434" s="32"/>
      <c r="F2434" s="34"/>
      <c r="G2434" s="32"/>
      <c r="H2434" s="32"/>
      <c r="K2434" s="41"/>
      <c r="M2434" s="41"/>
      <c r="N2434" s="42"/>
    </row>
    <row r="2435">
      <c r="A2435" s="31"/>
      <c r="B2435" s="31"/>
      <c r="C2435" s="32"/>
      <c r="D2435" s="40"/>
      <c r="E2435" s="32"/>
      <c r="F2435" s="34"/>
      <c r="G2435" s="32"/>
      <c r="H2435" s="32"/>
      <c r="K2435" s="41"/>
      <c r="M2435" s="41"/>
      <c r="N2435" s="42"/>
    </row>
    <row r="2436">
      <c r="A2436" s="31"/>
      <c r="B2436" s="31"/>
      <c r="C2436" s="32"/>
      <c r="D2436" s="40"/>
      <c r="E2436" s="32"/>
      <c r="F2436" s="34"/>
      <c r="G2436" s="32"/>
      <c r="H2436" s="32"/>
      <c r="K2436" s="41"/>
      <c r="M2436" s="41"/>
      <c r="N2436" s="42"/>
    </row>
    <row r="2437">
      <c r="A2437" s="31"/>
      <c r="B2437" s="31"/>
      <c r="C2437" s="32"/>
      <c r="D2437" s="40"/>
      <c r="E2437" s="32"/>
      <c r="F2437" s="34"/>
      <c r="G2437" s="32"/>
      <c r="H2437" s="32"/>
      <c r="K2437" s="41"/>
      <c r="M2437" s="41"/>
      <c r="N2437" s="42"/>
    </row>
    <row r="2438">
      <c r="A2438" s="31"/>
      <c r="B2438" s="31"/>
      <c r="C2438" s="32"/>
      <c r="D2438" s="40"/>
      <c r="E2438" s="32"/>
      <c r="F2438" s="34"/>
      <c r="G2438" s="32"/>
      <c r="H2438" s="32"/>
      <c r="K2438" s="41"/>
      <c r="M2438" s="41"/>
      <c r="N2438" s="42"/>
    </row>
    <row r="2439">
      <c r="A2439" s="31"/>
      <c r="B2439" s="31"/>
      <c r="C2439" s="32"/>
      <c r="D2439" s="40"/>
      <c r="E2439" s="32"/>
      <c r="F2439" s="34"/>
      <c r="G2439" s="32"/>
      <c r="H2439" s="32"/>
      <c r="K2439" s="41"/>
      <c r="M2439" s="41"/>
      <c r="N2439" s="42"/>
    </row>
    <row r="2440">
      <c r="A2440" s="31"/>
      <c r="B2440" s="31"/>
      <c r="C2440" s="32"/>
      <c r="D2440" s="40"/>
      <c r="E2440" s="32"/>
      <c r="F2440" s="34"/>
      <c r="G2440" s="32"/>
      <c r="H2440" s="32"/>
      <c r="K2440" s="41"/>
      <c r="M2440" s="41"/>
      <c r="N2440" s="42"/>
    </row>
    <row r="2441">
      <c r="A2441" s="31"/>
      <c r="B2441" s="31"/>
      <c r="C2441" s="32"/>
      <c r="D2441" s="40"/>
      <c r="E2441" s="32"/>
      <c r="F2441" s="34"/>
      <c r="G2441" s="32"/>
      <c r="H2441" s="32"/>
      <c r="K2441" s="41"/>
      <c r="M2441" s="41"/>
      <c r="N2441" s="42"/>
    </row>
    <row r="2442">
      <c r="A2442" s="31"/>
      <c r="B2442" s="31"/>
      <c r="C2442" s="32"/>
      <c r="D2442" s="40"/>
      <c r="E2442" s="32"/>
      <c r="F2442" s="34"/>
      <c r="G2442" s="32"/>
      <c r="H2442" s="32"/>
      <c r="K2442" s="41"/>
      <c r="M2442" s="41"/>
      <c r="N2442" s="42"/>
    </row>
    <row r="2443">
      <c r="A2443" s="31"/>
      <c r="B2443" s="31"/>
      <c r="C2443" s="32"/>
      <c r="D2443" s="40"/>
      <c r="E2443" s="32"/>
      <c r="F2443" s="34"/>
      <c r="G2443" s="32"/>
      <c r="H2443" s="32"/>
      <c r="K2443" s="41"/>
      <c r="M2443" s="41"/>
      <c r="N2443" s="42"/>
    </row>
    <row r="2444">
      <c r="A2444" s="31"/>
      <c r="B2444" s="31"/>
      <c r="C2444" s="32"/>
      <c r="D2444" s="40"/>
      <c r="E2444" s="32"/>
      <c r="F2444" s="34"/>
      <c r="G2444" s="32"/>
      <c r="H2444" s="32"/>
      <c r="K2444" s="41"/>
      <c r="M2444" s="41"/>
      <c r="N2444" s="42"/>
    </row>
    <row r="2445">
      <c r="A2445" s="31"/>
      <c r="B2445" s="31"/>
      <c r="C2445" s="32"/>
      <c r="D2445" s="40"/>
      <c r="E2445" s="32"/>
      <c r="F2445" s="34"/>
      <c r="G2445" s="32"/>
      <c r="H2445" s="32"/>
      <c r="K2445" s="41"/>
      <c r="M2445" s="41"/>
      <c r="N2445" s="42"/>
    </row>
    <row r="2446">
      <c r="A2446" s="31"/>
      <c r="B2446" s="31"/>
      <c r="C2446" s="32"/>
      <c r="D2446" s="40"/>
      <c r="E2446" s="32"/>
      <c r="F2446" s="34"/>
      <c r="G2446" s="32"/>
      <c r="H2446" s="32"/>
      <c r="K2446" s="41"/>
      <c r="M2446" s="41"/>
      <c r="N2446" s="42"/>
    </row>
    <row r="2447">
      <c r="A2447" s="31"/>
      <c r="B2447" s="31"/>
      <c r="C2447" s="32"/>
      <c r="D2447" s="40"/>
      <c r="E2447" s="32"/>
      <c r="F2447" s="34"/>
      <c r="G2447" s="32"/>
      <c r="H2447" s="32"/>
      <c r="K2447" s="41"/>
      <c r="M2447" s="41"/>
      <c r="N2447" s="42"/>
    </row>
    <row r="2448">
      <c r="A2448" s="31"/>
      <c r="B2448" s="31"/>
      <c r="C2448" s="32"/>
      <c r="D2448" s="40"/>
      <c r="E2448" s="32"/>
      <c r="F2448" s="34"/>
      <c r="G2448" s="32"/>
      <c r="H2448" s="32"/>
      <c r="K2448" s="41"/>
      <c r="M2448" s="41"/>
      <c r="N2448" s="42"/>
    </row>
    <row r="2449">
      <c r="A2449" s="31"/>
      <c r="B2449" s="31"/>
      <c r="C2449" s="32"/>
      <c r="D2449" s="40"/>
      <c r="E2449" s="32"/>
      <c r="F2449" s="34"/>
      <c r="G2449" s="32"/>
      <c r="H2449" s="32"/>
      <c r="K2449" s="41"/>
      <c r="M2449" s="41"/>
      <c r="N2449" s="42"/>
    </row>
    <row r="2450">
      <c r="A2450" s="31"/>
      <c r="B2450" s="31"/>
      <c r="C2450" s="32"/>
      <c r="D2450" s="40"/>
      <c r="E2450" s="32"/>
      <c r="F2450" s="34"/>
      <c r="G2450" s="32"/>
      <c r="H2450" s="32"/>
      <c r="K2450" s="41"/>
      <c r="M2450" s="41"/>
      <c r="N2450" s="42"/>
    </row>
    <row r="2451">
      <c r="A2451" s="31"/>
      <c r="B2451" s="31"/>
      <c r="C2451" s="32"/>
      <c r="D2451" s="40"/>
      <c r="E2451" s="32"/>
      <c r="F2451" s="34"/>
      <c r="G2451" s="32"/>
      <c r="H2451" s="32"/>
      <c r="K2451" s="41"/>
      <c r="M2451" s="41"/>
      <c r="N2451" s="42"/>
    </row>
    <row r="2452">
      <c r="A2452" s="31"/>
      <c r="B2452" s="31"/>
      <c r="C2452" s="32"/>
      <c r="D2452" s="40"/>
      <c r="E2452" s="32"/>
      <c r="F2452" s="34"/>
      <c r="G2452" s="32"/>
      <c r="H2452" s="32"/>
      <c r="K2452" s="41"/>
      <c r="M2452" s="41"/>
      <c r="N2452" s="42"/>
    </row>
    <row r="2453">
      <c r="A2453" s="31"/>
      <c r="B2453" s="31"/>
      <c r="C2453" s="32"/>
      <c r="D2453" s="40"/>
      <c r="E2453" s="32"/>
      <c r="F2453" s="34"/>
      <c r="G2453" s="32"/>
      <c r="H2453" s="32"/>
      <c r="K2453" s="41"/>
      <c r="M2453" s="41"/>
      <c r="N2453" s="42"/>
    </row>
    <row r="2454">
      <c r="A2454" s="31"/>
      <c r="B2454" s="31"/>
      <c r="C2454" s="32"/>
      <c r="D2454" s="40"/>
      <c r="E2454" s="32"/>
      <c r="F2454" s="34"/>
      <c r="G2454" s="32"/>
      <c r="H2454" s="32"/>
      <c r="K2454" s="41"/>
      <c r="M2454" s="41"/>
      <c r="N2454" s="42"/>
    </row>
    <row r="2455">
      <c r="A2455" s="31"/>
      <c r="B2455" s="31"/>
      <c r="C2455" s="32"/>
      <c r="D2455" s="40"/>
      <c r="E2455" s="32"/>
      <c r="F2455" s="34"/>
      <c r="G2455" s="32"/>
      <c r="H2455" s="32"/>
      <c r="K2455" s="41"/>
      <c r="M2455" s="41"/>
      <c r="N2455" s="42"/>
    </row>
    <row r="2456">
      <c r="A2456" s="31"/>
      <c r="B2456" s="31"/>
      <c r="C2456" s="32"/>
      <c r="D2456" s="40"/>
      <c r="E2456" s="32"/>
      <c r="F2456" s="34"/>
      <c r="G2456" s="32"/>
      <c r="H2456" s="32"/>
      <c r="K2456" s="41"/>
      <c r="M2456" s="41"/>
      <c r="N2456" s="42"/>
    </row>
    <row r="2457">
      <c r="A2457" s="31"/>
      <c r="B2457" s="31"/>
      <c r="C2457" s="32"/>
      <c r="D2457" s="40"/>
      <c r="E2457" s="32"/>
      <c r="F2457" s="34"/>
      <c r="G2457" s="32"/>
      <c r="H2457" s="32"/>
      <c r="K2457" s="41"/>
      <c r="M2457" s="41"/>
      <c r="N2457" s="42"/>
    </row>
    <row r="2458">
      <c r="A2458" s="31"/>
      <c r="B2458" s="31"/>
      <c r="C2458" s="32"/>
      <c r="D2458" s="40"/>
      <c r="E2458" s="32"/>
      <c r="F2458" s="34"/>
      <c r="G2458" s="32"/>
      <c r="H2458" s="32"/>
      <c r="K2458" s="41"/>
      <c r="M2458" s="41"/>
      <c r="N2458" s="42"/>
    </row>
    <row r="2459">
      <c r="A2459" s="31"/>
      <c r="B2459" s="31"/>
      <c r="C2459" s="32"/>
      <c r="D2459" s="40"/>
      <c r="E2459" s="32"/>
      <c r="F2459" s="34"/>
      <c r="G2459" s="32"/>
      <c r="H2459" s="32"/>
      <c r="K2459" s="41"/>
      <c r="M2459" s="41"/>
      <c r="N2459" s="42"/>
    </row>
    <row r="2460">
      <c r="A2460" s="31"/>
      <c r="B2460" s="31"/>
      <c r="C2460" s="32"/>
      <c r="D2460" s="40"/>
      <c r="E2460" s="32"/>
      <c r="F2460" s="34"/>
      <c r="G2460" s="32"/>
      <c r="H2460" s="32"/>
      <c r="K2460" s="41"/>
      <c r="M2460" s="41"/>
      <c r="N2460" s="42"/>
    </row>
    <row r="2461">
      <c r="A2461" s="31"/>
      <c r="B2461" s="31"/>
      <c r="C2461" s="32"/>
      <c r="D2461" s="40"/>
      <c r="E2461" s="32"/>
      <c r="F2461" s="34"/>
      <c r="G2461" s="32"/>
      <c r="H2461" s="32"/>
      <c r="K2461" s="41"/>
      <c r="M2461" s="41"/>
      <c r="N2461" s="42"/>
    </row>
    <row r="2462">
      <c r="A2462" s="31"/>
      <c r="B2462" s="31"/>
      <c r="C2462" s="32"/>
      <c r="D2462" s="40"/>
      <c r="E2462" s="32"/>
      <c r="F2462" s="34"/>
      <c r="G2462" s="32"/>
      <c r="H2462" s="32"/>
      <c r="K2462" s="41"/>
      <c r="M2462" s="41"/>
      <c r="N2462" s="42"/>
    </row>
    <row r="2463">
      <c r="A2463" s="31"/>
      <c r="B2463" s="31"/>
      <c r="C2463" s="32"/>
      <c r="D2463" s="40"/>
      <c r="E2463" s="32"/>
      <c r="F2463" s="34"/>
      <c r="G2463" s="32"/>
      <c r="H2463" s="32"/>
      <c r="K2463" s="41"/>
      <c r="M2463" s="41"/>
      <c r="N2463" s="42"/>
    </row>
    <row r="2464">
      <c r="A2464" s="31"/>
      <c r="B2464" s="31"/>
      <c r="C2464" s="32"/>
      <c r="D2464" s="40"/>
      <c r="E2464" s="32"/>
      <c r="F2464" s="34"/>
      <c r="G2464" s="32"/>
      <c r="H2464" s="32"/>
      <c r="K2464" s="41"/>
      <c r="M2464" s="41"/>
      <c r="N2464" s="42"/>
    </row>
    <row r="2465">
      <c r="A2465" s="31"/>
      <c r="B2465" s="31"/>
      <c r="C2465" s="32"/>
      <c r="D2465" s="40"/>
      <c r="E2465" s="32"/>
      <c r="F2465" s="34"/>
      <c r="G2465" s="32"/>
      <c r="H2465" s="32"/>
      <c r="K2465" s="41"/>
      <c r="M2465" s="41"/>
      <c r="N2465" s="42"/>
    </row>
    <row r="2466">
      <c r="A2466" s="31"/>
      <c r="B2466" s="31"/>
      <c r="C2466" s="32"/>
      <c r="D2466" s="40"/>
      <c r="E2466" s="32"/>
      <c r="F2466" s="34"/>
      <c r="G2466" s="32"/>
      <c r="H2466" s="32"/>
      <c r="K2466" s="41"/>
      <c r="M2466" s="41"/>
      <c r="N2466" s="42"/>
    </row>
    <row r="2467">
      <c r="A2467" s="31"/>
      <c r="B2467" s="31"/>
      <c r="C2467" s="32"/>
      <c r="D2467" s="40"/>
      <c r="E2467" s="32"/>
      <c r="F2467" s="34"/>
      <c r="G2467" s="32"/>
      <c r="H2467" s="32"/>
      <c r="K2467" s="41"/>
      <c r="M2467" s="41"/>
      <c r="N2467" s="42"/>
    </row>
    <row r="2468">
      <c r="A2468" s="31"/>
      <c r="B2468" s="31"/>
      <c r="C2468" s="32"/>
      <c r="D2468" s="40"/>
      <c r="E2468" s="32"/>
      <c r="F2468" s="34"/>
      <c r="G2468" s="32"/>
      <c r="H2468" s="32"/>
      <c r="K2468" s="41"/>
      <c r="M2468" s="41"/>
      <c r="N2468" s="42"/>
    </row>
    <row r="2469">
      <c r="A2469" s="31"/>
      <c r="B2469" s="31"/>
      <c r="C2469" s="32"/>
      <c r="D2469" s="40"/>
      <c r="E2469" s="32"/>
      <c r="F2469" s="34"/>
      <c r="G2469" s="32"/>
      <c r="H2469" s="32"/>
      <c r="K2469" s="41"/>
      <c r="M2469" s="41"/>
      <c r="N2469" s="42"/>
    </row>
    <row r="2470">
      <c r="A2470" s="31"/>
      <c r="B2470" s="31"/>
      <c r="C2470" s="32"/>
      <c r="D2470" s="40"/>
      <c r="E2470" s="32"/>
      <c r="F2470" s="34"/>
      <c r="G2470" s="32"/>
      <c r="H2470" s="32"/>
      <c r="K2470" s="41"/>
      <c r="M2470" s="41"/>
      <c r="N2470" s="42"/>
    </row>
    <row r="2471">
      <c r="A2471" s="31"/>
      <c r="B2471" s="31"/>
      <c r="C2471" s="32"/>
      <c r="D2471" s="40"/>
      <c r="E2471" s="32"/>
      <c r="F2471" s="34"/>
      <c r="G2471" s="32"/>
      <c r="H2471" s="32"/>
      <c r="K2471" s="41"/>
      <c r="M2471" s="41"/>
      <c r="N2471" s="42"/>
    </row>
    <row r="2472">
      <c r="A2472" s="31"/>
      <c r="B2472" s="31"/>
      <c r="C2472" s="32"/>
      <c r="D2472" s="40"/>
      <c r="E2472" s="32"/>
      <c r="F2472" s="34"/>
      <c r="G2472" s="32"/>
      <c r="H2472" s="32"/>
      <c r="K2472" s="41"/>
      <c r="M2472" s="41"/>
      <c r="N2472" s="42"/>
    </row>
    <row r="2473">
      <c r="A2473" s="31"/>
      <c r="B2473" s="31"/>
      <c r="C2473" s="32"/>
      <c r="D2473" s="40"/>
      <c r="E2473" s="32"/>
      <c r="F2473" s="34"/>
      <c r="G2473" s="32"/>
      <c r="H2473" s="32"/>
      <c r="K2473" s="41"/>
      <c r="M2473" s="41"/>
      <c r="N2473" s="42"/>
    </row>
    <row r="2474">
      <c r="A2474" s="31"/>
      <c r="B2474" s="31"/>
      <c r="C2474" s="32"/>
      <c r="D2474" s="40"/>
      <c r="E2474" s="32"/>
      <c r="F2474" s="34"/>
      <c r="G2474" s="32"/>
      <c r="H2474" s="32"/>
      <c r="K2474" s="41"/>
      <c r="M2474" s="41"/>
      <c r="N2474" s="42"/>
    </row>
    <row r="2475">
      <c r="A2475" s="31"/>
      <c r="B2475" s="31"/>
      <c r="C2475" s="32"/>
      <c r="D2475" s="40"/>
      <c r="E2475" s="32"/>
      <c r="F2475" s="34"/>
      <c r="G2475" s="32"/>
      <c r="H2475" s="32"/>
      <c r="K2475" s="41"/>
      <c r="M2475" s="41"/>
      <c r="N2475" s="42"/>
    </row>
    <row r="2476">
      <c r="A2476" s="31"/>
      <c r="B2476" s="31"/>
      <c r="C2476" s="32"/>
      <c r="D2476" s="40"/>
      <c r="E2476" s="32"/>
      <c r="F2476" s="34"/>
      <c r="G2476" s="32"/>
      <c r="H2476" s="32"/>
      <c r="K2476" s="41"/>
      <c r="M2476" s="41"/>
      <c r="N2476" s="42"/>
    </row>
    <row r="2477">
      <c r="A2477" s="31"/>
      <c r="B2477" s="31"/>
      <c r="C2477" s="32"/>
      <c r="D2477" s="40"/>
      <c r="E2477" s="32"/>
      <c r="F2477" s="34"/>
      <c r="G2477" s="32"/>
      <c r="H2477" s="32"/>
      <c r="K2477" s="41"/>
      <c r="M2477" s="41"/>
      <c r="N2477" s="42"/>
    </row>
    <row r="2478">
      <c r="A2478" s="31"/>
      <c r="B2478" s="31"/>
      <c r="C2478" s="32"/>
      <c r="D2478" s="40"/>
      <c r="E2478" s="32"/>
      <c r="F2478" s="34"/>
      <c r="G2478" s="32"/>
      <c r="H2478" s="32"/>
      <c r="K2478" s="41"/>
      <c r="M2478" s="41"/>
      <c r="N2478" s="42"/>
    </row>
    <row r="2479">
      <c r="A2479" s="31"/>
      <c r="B2479" s="31"/>
      <c r="C2479" s="32"/>
      <c r="D2479" s="40"/>
      <c r="E2479" s="32"/>
      <c r="F2479" s="34"/>
      <c r="G2479" s="32"/>
      <c r="H2479" s="32"/>
      <c r="K2479" s="41"/>
      <c r="M2479" s="41"/>
      <c r="N2479" s="42"/>
    </row>
    <row r="2480">
      <c r="A2480" s="31"/>
      <c r="B2480" s="31"/>
      <c r="C2480" s="32"/>
      <c r="D2480" s="40"/>
      <c r="E2480" s="32"/>
      <c r="F2480" s="34"/>
      <c r="G2480" s="32"/>
      <c r="H2480" s="32"/>
      <c r="K2480" s="41"/>
      <c r="M2480" s="41"/>
      <c r="N2480" s="42"/>
    </row>
    <row r="2481">
      <c r="A2481" s="31"/>
      <c r="B2481" s="31"/>
      <c r="C2481" s="32"/>
      <c r="D2481" s="40"/>
      <c r="E2481" s="32"/>
      <c r="F2481" s="34"/>
      <c r="G2481" s="32"/>
      <c r="H2481" s="32"/>
      <c r="K2481" s="41"/>
      <c r="M2481" s="41"/>
      <c r="N2481" s="42"/>
    </row>
    <row r="2482">
      <c r="A2482" s="31"/>
      <c r="B2482" s="31"/>
      <c r="C2482" s="32"/>
      <c r="D2482" s="40"/>
      <c r="E2482" s="32"/>
      <c r="F2482" s="34"/>
      <c r="G2482" s="32"/>
      <c r="H2482" s="32"/>
      <c r="K2482" s="41"/>
      <c r="M2482" s="41"/>
      <c r="N2482" s="42"/>
    </row>
    <row r="2483">
      <c r="A2483" s="31"/>
      <c r="B2483" s="31"/>
      <c r="C2483" s="32"/>
      <c r="D2483" s="40"/>
      <c r="E2483" s="32"/>
      <c r="F2483" s="34"/>
      <c r="G2483" s="32"/>
      <c r="H2483" s="32"/>
      <c r="K2483" s="41"/>
      <c r="M2483" s="41"/>
      <c r="N2483" s="42"/>
    </row>
    <row r="2484">
      <c r="A2484" s="31"/>
      <c r="B2484" s="31"/>
      <c r="C2484" s="32"/>
      <c r="D2484" s="40"/>
      <c r="E2484" s="32"/>
      <c r="F2484" s="34"/>
      <c r="G2484" s="32"/>
      <c r="H2484" s="32"/>
      <c r="K2484" s="41"/>
      <c r="M2484" s="41"/>
      <c r="N2484" s="42"/>
    </row>
    <row r="2485">
      <c r="A2485" s="31"/>
      <c r="B2485" s="31"/>
      <c r="C2485" s="32"/>
      <c r="D2485" s="40"/>
      <c r="E2485" s="32"/>
      <c r="F2485" s="34"/>
      <c r="G2485" s="32"/>
      <c r="H2485" s="32"/>
      <c r="K2485" s="41"/>
      <c r="M2485" s="41"/>
      <c r="N2485" s="42"/>
    </row>
    <row r="2486">
      <c r="A2486" s="31"/>
      <c r="B2486" s="31"/>
      <c r="C2486" s="32"/>
      <c r="D2486" s="40"/>
      <c r="E2486" s="32"/>
      <c r="F2486" s="34"/>
      <c r="G2486" s="32"/>
      <c r="H2486" s="32"/>
      <c r="K2486" s="41"/>
      <c r="M2486" s="41"/>
      <c r="N2486" s="42"/>
    </row>
    <row r="2487">
      <c r="A2487" s="31"/>
      <c r="B2487" s="31"/>
      <c r="C2487" s="32"/>
      <c r="D2487" s="40"/>
      <c r="E2487" s="32"/>
      <c r="F2487" s="34"/>
      <c r="G2487" s="32"/>
      <c r="H2487" s="32"/>
      <c r="K2487" s="41"/>
      <c r="M2487" s="41"/>
      <c r="N2487" s="42"/>
    </row>
    <row r="2488">
      <c r="A2488" s="31"/>
      <c r="B2488" s="31"/>
      <c r="C2488" s="32"/>
      <c r="D2488" s="40"/>
      <c r="E2488" s="32"/>
      <c r="F2488" s="34"/>
      <c r="G2488" s="32"/>
      <c r="H2488" s="32"/>
      <c r="K2488" s="41"/>
      <c r="M2488" s="41"/>
      <c r="N2488" s="42"/>
    </row>
    <row r="2489">
      <c r="A2489" s="31"/>
      <c r="B2489" s="31"/>
      <c r="C2489" s="32"/>
      <c r="D2489" s="40"/>
      <c r="E2489" s="32"/>
      <c r="F2489" s="34"/>
      <c r="G2489" s="32"/>
      <c r="H2489" s="32"/>
      <c r="K2489" s="41"/>
      <c r="M2489" s="41"/>
      <c r="N2489" s="42"/>
    </row>
    <row r="2490">
      <c r="A2490" s="31"/>
      <c r="B2490" s="31"/>
      <c r="C2490" s="32"/>
      <c r="D2490" s="40"/>
      <c r="E2490" s="32"/>
      <c r="F2490" s="34"/>
      <c r="G2490" s="32"/>
      <c r="H2490" s="32"/>
      <c r="K2490" s="41"/>
      <c r="M2490" s="41"/>
      <c r="N2490" s="42"/>
    </row>
    <row r="2491">
      <c r="A2491" s="31"/>
      <c r="B2491" s="31"/>
      <c r="C2491" s="32"/>
      <c r="D2491" s="40"/>
      <c r="E2491" s="32"/>
      <c r="F2491" s="34"/>
      <c r="G2491" s="32"/>
      <c r="H2491" s="32"/>
      <c r="K2491" s="41"/>
      <c r="M2491" s="41"/>
      <c r="N2491" s="42"/>
    </row>
    <row r="2492">
      <c r="A2492" s="31"/>
      <c r="B2492" s="31"/>
      <c r="C2492" s="32"/>
      <c r="D2492" s="40"/>
      <c r="E2492" s="32"/>
      <c r="F2492" s="34"/>
      <c r="G2492" s="32"/>
      <c r="H2492" s="32"/>
      <c r="K2492" s="41"/>
      <c r="M2492" s="41"/>
      <c r="N2492" s="42"/>
    </row>
    <row r="2493">
      <c r="A2493" s="31"/>
      <c r="B2493" s="31"/>
      <c r="C2493" s="32"/>
      <c r="D2493" s="40"/>
      <c r="E2493" s="32"/>
      <c r="F2493" s="34"/>
      <c r="G2493" s="32"/>
      <c r="H2493" s="32"/>
      <c r="K2493" s="41"/>
      <c r="M2493" s="41"/>
      <c r="N2493" s="42"/>
    </row>
    <row r="2494">
      <c r="A2494" s="31"/>
      <c r="B2494" s="31"/>
      <c r="C2494" s="32"/>
      <c r="D2494" s="40"/>
      <c r="E2494" s="32"/>
      <c r="F2494" s="34"/>
      <c r="G2494" s="32"/>
      <c r="H2494" s="32"/>
      <c r="K2494" s="41"/>
      <c r="M2494" s="41"/>
      <c r="N2494" s="42"/>
    </row>
    <row r="2495">
      <c r="A2495" s="31"/>
      <c r="B2495" s="31"/>
      <c r="C2495" s="32"/>
      <c r="D2495" s="40"/>
      <c r="E2495" s="32"/>
      <c r="F2495" s="34"/>
      <c r="G2495" s="32"/>
      <c r="H2495" s="32"/>
      <c r="K2495" s="41"/>
      <c r="M2495" s="41"/>
      <c r="N2495" s="42"/>
    </row>
    <row r="2496">
      <c r="A2496" s="31"/>
      <c r="B2496" s="31"/>
      <c r="C2496" s="32"/>
      <c r="D2496" s="40"/>
      <c r="E2496" s="32"/>
      <c r="F2496" s="34"/>
      <c r="G2496" s="32"/>
      <c r="H2496" s="32"/>
      <c r="K2496" s="41"/>
      <c r="M2496" s="41"/>
      <c r="N2496" s="42"/>
    </row>
    <row r="2497">
      <c r="A2497" s="31"/>
      <c r="B2497" s="31"/>
      <c r="C2497" s="32"/>
      <c r="D2497" s="40"/>
      <c r="E2497" s="32"/>
      <c r="F2497" s="34"/>
      <c r="G2497" s="32"/>
      <c r="H2497" s="32"/>
      <c r="K2497" s="41"/>
      <c r="M2497" s="41"/>
      <c r="N2497" s="42"/>
    </row>
    <row r="2498">
      <c r="A2498" s="31"/>
      <c r="B2498" s="31"/>
      <c r="C2498" s="32"/>
      <c r="D2498" s="40"/>
      <c r="E2498" s="32"/>
      <c r="F2498" s="34"/>
      <c r="G2498" s="32"/>
      <c r="H2498" s="32"/>
      <c r="K2498" s="41"/>
      <c r="M2498" s="41"/>
      <c r="N2498" s="42"/>
    </row>
    <row r="2499">
      <c r="A2499" s="31"/>
      <c r="B2499" s="31"/>
      <c r="C2499" s="32"/>
      <c r="D2499" s="40"/>
      <c r="E2499" s="32"/>
      <c r="F2499" s="34"/>
      <c r="G2499" s="32"/>
      <c r="H2499" s="32"/>
      <c r="K2499" s="41"/>
      <c r="M2499" s="41"/>
      <c r="N2499" s="42"/>
    </row>
    <row r="2500">
      <c r="A2500" s="31"/>
      <c r="B2500" s="31"/>
      <c r="C2500" s="32"/>
      <c r="D2500" s="40"/>
      <c r="E2500" s="32"/>
      <c r="F2500" s="34"/>
      <c r="G2500" s="32"/>
      <c r="H2500" s="32"/>
      <c r="K2500" s="41"/>
      <c r="M2500" s="41"/>
      <c r="N2500" s="42"/>
    </row>
    <row r="2501">
      <c r="A2501" s="31"/>
      <c r="B2501" s="31"/>
      <c r="C2501" s="32"/>
      <c r="D2501" s="40"/>
      <c r="E2501" s="32"/>
      <c r="F2501" s="34"/>
      <c r="G2501" s="32"/>
      <c r="H2501" s="32"/>
      <c r="K2501" s="41"/>
      <c r="M2501" s="41"/>
      <c r="N2501" s="42"/>
    </row>
    <row r="2502">
      <c r="A2502" s="31"/>
      <c r="B2502" s="31"/>
      <c r="C2502" s="32"/>
      <c r="D2502" s="40"/>
      <c r="E2502" s="32"/>
      <c r="F2502" s="34"/>
      <c r="G2502" s="32"/>
      <c r="H2502" s="32"/>
      <c r="K2502" s="41"/>
      <c r="M2502" s="41"/>
      <c r="N2502" s="42"/>
    </row>
    <row r="2503">
      <c r="A2503" s="31"/>
      <c r="B2503" s="31"/>
      <c r="C2503" s="32"/>
      <c r="D2503" s="40"/>
      <c r="E2503" s="32"/>
      <c r="F2503" s="34"/>
      <c r="G2503" s="32"/>
      <c r="H2503" s="32"/>
      <c r="K2503" s="41"/>
      <c r="M2503" s="41"/>
      <c r="N2503" s="42"/>
    </row>
    <row r="2504">
      <c r="A2504" s="31"/>
      <c r="B2504" s="31"/>
      <c r="C2504" s="32"/>
      <c r="D2504" s="40"/>
      <c r="E2504" s="32"/>
      <c r="F2504" s="34"/>
      <c r="G2504" s="32"/>
      <c r="H2504" s="32"/>
      <c r="K2504" s="41"/>
      <c r="M2504" s="41"/>
      <c r="N2504" s="42"/>
    </row>
    <row r="2505">
      <c r="A2505" s="31"/>
      <c r="B2505" s="31"/>
      <c r="C2505" s="32"/>
      <c r="D2505" s="40"/>
      <c r="E2505" s="32"/>
      <c r="F2505" s="34"/>
      <c r="G2505" s="32"/>
      <c r="H2505" s="32"/>
      <c r="K2505" s="41"/>
      <c r="M2505" s="41"/>
      <c r="N2505" s="42"/>
    </row>
    <row r="2506">
      <c r="A2506" s="31"/>
      <c r="B2506" s="31"/>
      <c r="C2506" s="32"/>
      <c r="D2506" s="40"/>
      <c r="E2506" s="32"/>
      <c r="F2506" s="34"/>
      <c r="G2506" s="32"/>
      <c r="H2506" s="32"/>
      <c r="K2506" s="41"/>
      <c r="M2506" s="41"/>
      <c r="N2506" s="42"/>
    </row>
    <row r="2507">
      <c r="A2507" s="31"/>
      <c r="B2507" s="31"/>
      <c r="C2507" s="32"/>
      <c r="D2507" s="40"/>
      <c r="E2507" s="32"/>
      <c r="F2507" s="34"/>
      <c r="G2507" s="32"/>
      <c r="H2507" s="32"/>
      <c r="K2507" s="41"/>
      <c r="M2507" s="41"/>
      <c r="N2507" s="42"/>
    </row>
    <row r="2508">
      <c r="A2508" s="31"/>
      <c r="B2508" s="31"/>
      <c r="C2508" s="32"/>
      <c r="D2508" s="40"/>
      <c r="E2508" s="32"/>
      <c r="F2508" s="34"/>
      <c r="G2508" s="32"/>
      <c r="H2508" s="32"/>
      <c r="K2508" s="41"/>
      <c r="M2508" s="41"/>
      <c r="N2508" s="42"/>
    </row>
    <row r="2509">
      <c r="A2509" s="31"/>
      <c r="B2509" s="31"/>
      <c r="C2509" s="32"/>
      <c r="D2509" s="40"/>
      <c r="E2509" s="32"/>
      <c r="F2509" s="34"/>
      <c r="G2509" s="32"/>
      <c r="H2509" s="32"/>
      <c r="K2509" s="41"/>
      <c r="M2509" s="41"/>
      <c r="N2509" s="42"/>
    </row>
    <row r="2510">
      <c r="A2510" s="31"/>
      <c r="B2510" s="31"/>
      <c r="C2510" s="32"/>
      <c r="D2510" s="40"/>
      <c r="E2510" s="32"/>
      <c r="F2510" s="34"/>
      <c r="G2510" s="32"/>
      <c r="H2510" s="32"/>
      <c r="K2510" s="41"/>
      <c r="M2510" s="41"/>
      <c r="N2510" s="42"/>
    </row>
    <row r="2511">
      <c r="A2511" s="31"/>
      <c r="B2511" s="31"/>
      <c r="C2511" s="32"/>
      <c r="D2511" s="40"/>
      <c r="E2511" s="32"/>
      <c r="F2511" s="34"/>
      <c r="G2511" s="32"/>
      <c r="H2511" s="32"/>
      <c r="K2511" s="41"/>
      <c r="M2511" s="41"/>
      <c r="N2511" s="42"/>
    </row>
    <row r="2512">
      <c r="A2512" s="31"/>
      <c r="B2512" s="31"/>
      <c r="C2512" s="32"/>
      <c r="D2512" s="40"/>
      <c r="E2512" s="32"/>
      <c r="F2512" s="34"/>
      <c r="G2512" s="32"/>
      <c r="H2512" s="32"/>
      <c r="K2512" s="41"/>
      <c r="M2512" s="41"/>
      <c r="N2512" s="42"/>
    </row>
    <row r="2513">
      <c r="A2513" s="31"/>
      <c r="B2513" s="31"/>
      <c r="C2513" s="32"/>
      <c r="D2513" s="40"/>
      <c r="E2513" s="32"/>
      <c r="F2513" s="34"/>
      <c r="G2513" s="32"/>
      <c r="H2513" s="32"/>
      <c r="K2513" s="41"/>
      <c r="M2513" s="41"/>
      <c r="N2513" s="42"/>
    </row>
    <row r="2514">
      <c r="A2514" s="31"/>
      <c r="B2514" s="31"/>
      <c r="C2514" s="32"/>
      <c r="D2514" s="40"/>
      <c r="E2514" s="32"/>
      <c r="F2514" s="34"/>
      <c r="G2514" s="32"/>
      <c r="H2514" s="32"/>
      <c r="K2514" s="41"/>
      <c r="M2514" s="41"/>
      <c r="N2514" s="42"/>
    </row>
    <row r="2515">
      <c r="A2515" s="31"/>
      <c r="B2515" s="31"/>
      <c r="C2515" s="32"/>
      <c r="D2515" s="40"/>
      <c r="E2515" s="32"/>
      <c r="F2515" s="34"/>
      <c r="G2515" s="32"/>
      <c r="H2515" s="32"/>
      <c r="K2515" s="41"/>
      <c r="M2515" s="41"/>
      <c r="N2515" s="42"/>
    </row>
    <row r="2516">
      <c r="A2516" s="31"/>
      <c r="B2516" s="31"/>
      <c r="C2516" s="32"/>
      <c r="D2516" s="40"/>
      <c r="E2516" s="32"/>
      <c r="F2516" s="34"/>
      <c r="G2516" s="32"/>
      <c r="H2516" s="32"/>
      <c r="K2516" s="41"/>
      <c r="M2516" s="41"/>
      <c r="N2516" s="42"/>
    </row>
    <row r="2517">
      <c r="A2517" s="31"/>
      <c r="B2517" s="31"/>
      <c r="C2517" s="32"/>
      <c r="D2517" s="40"/>
      <c r="E2517" s="32"/>
      <c r="F2517" s="34"/>
      <c r="G2517" s="32"/>
      <c r="H2517" s="32"/>
      <c r="K2517" s="41"/>
      <c r="M2517" s="41"/>
      <c r="N2517" s="42"/>
    </row>
    <row r="2518">
      <c r="A2518" s="31"/>
      <c r="B2518" s="31"/>
      <c r="C2518" s="32"/>
      <c r="D2518" s="40"/>
      <c r="E2518" s="32"/>
      <c r="F2518" s="34"/>
      <c r="G2518" s="32"/>
      <c r="H2518" s="32"/>
      <c r="K2518" s="41"/>
      <c r="M2518" s="41"/>
      <c r="N2518" s="42"/>
    </row>
    <row r="2519">
      <c r="A2519" s="31"/>
      <c r="B2519" s="31"/>
      <c r="C2519" s="32"/>
      <c r="D2519" s="40"/>
      <c r="E2519" s="32"/>
      <c r="F2519" s="34"/>
      <c r="G2519" s="32"/>
      <c r="H2519" s="32"/>
      <c r="K2519" s="41"/>
      <c r="M2519" s="41"/>
      <c r="N2519" s="42"/>
    </row>
    <row r="2520">
      <c r="A2520" s="31"/>
      <c r="B2520" s="31"/>
      <c r="C2520" s="32"/>
      <c r="D2520" s="40"/>
      <c r="E2520" s="32"/>
      <c r="F2520" s="34"/>
      <c r="G2520" s="32"/>
      <c r="H2520" s="32"/>
      <c r="K2520" s="41"/>
      <c r="M2520" s="41"/>
      <c r="N2520" s="42"/>
    </row>
    <row r="2521">
      <c r="A2521" s="31"/>
      <c r="B2521" s="31"/>
      <c r="C2521" s="32"/>
      <c r="D2521" s="40"/>
      <c r="E2521" s="32"/>
      <c r="F2521" s="34"/>
      <c r="G2521" s="32"/>
      <c r="H2521" s="32"/>
      <c r="K2521" s="41"/>
      <c r="M2521" s="41"/>
      <c r="N2521" s="42"/>
    </row>
    <row r="2522">
      <c r="A2522" s="31"/>
      <c r="B2522" s="31"/>
      <c r="C2522" s="32"/>
      <c r="D2522" s="40"/>
      <c r="E2522" s="32"/>
      <c r="F2522" s="34"/>
      <c r="G2522" s="32"/>
      <c r="H2522" s="32"/>
      <c r="K2522" s="41"/>
      <c r="M2522" s="41"/>
      <c r="N2522" s="42"/>
    </row>
    <row r="2523">
      <c r="A2523" s="31"/>
      <c r="B2523" s="31"/>
      <c r="C2523" s="32"/>
      <c r="D2523" s="40"/>
      <c r="E2523" s="32"/>
      <c r="F2523" s="34"/>
      <c r="G2523" s="32"/>
      <c r="H2523" s="32"/>
      <c r="K2523" s="41"/>
      <c r="M2523" s="41"/>
      <c r="N2523" s="42"/>
    </row>
    <row r="2524">
      <c r="A2524" s="31"/>
      <c r="B2524" s="31"/>
      <c r="C2524" s="32"/>
      <c r="D2524" s="40"/>
      <c r="E2524" s="32"/>
      <c r="F2524" s="34"/>
      <c r="G2524" s="32"/>
      <c r="H2524" s="32"/>
      <c r="K2524" s="41"/>
      <c r="M2524" s="41"/>
      <c r="N2524" s="42"/>
    </row>
    <row r="2525">
      <c r="A2525" s="31"/>
      <c r="B2525" s="31"/>
      <c r="C2525" s="32"/>
      <c r="D2525" s="40"/>
      <c r="E2525" s="32"/>
      <c r="F2525" s="34"/>
      <c r="G2525" s="32"/>
      <c r="H2525" s="32"/>
      <c r="K2525" s="41"/>
      <c r="M2525" s="41"/>
      <c r="N2525" s="42"/>
    </row>
    <row r="2526">
      <c r="A2526" s="31"/>
      <c r="B2526" s="31"/>
      <c r="C2526" s="32"/>
      <c r="D2526" s="40"/>
      <c r="E2526" s="32"/>
      <c r="F2526" s="34"/>
      <c r="G2526" s="32"/>
      <c r="H2526" s="32"/>
      <c r="K2526" s="41"/>
      <c r="M2526" s="41"/>
      <c r="N2526" s="42"/>
    </row>
    <row r="2527">
      <c r="A2527" s="31"/>
      <c r="B2527" s="31"/>
      <c r="C2527" s="32"/>
      <c r="D2527" s="40"/>
      <c r="E2527" s="32"/>
      <c r="F2527" s="34"/>
      <c r="G2527" s="32"/>
      <c r="H2527" s="32"/>
      <c r="K2527" s="41"/>
      <c r="M2527" s="41"/>
      <c r="N2527" s="42"/>
    </row>
    <row r="2528">
      <c r="A2528" s="31"/>
      <c r="B2528" s="31"/>
      <c r="C2528" s="32"/>
      <c r="D2528" s="40"/>
      <c r="E2528" s="32"/>
      <c r="F2528" s="34"/>
      <c r="G2528" s="32"/>
      <c r="H2528" s="32"/>
      <c r="K2528" s="41"/>
      <c r="M2528" s="41"/>
      <c r="N2528" s="42"/>
    </row>
    <row r="2529">
      <c r="A2529" s="31"/>
      <c r="B2529" s="31"/>
      <c r="C2529" s="32"/>
      <c r="D2529" s="40"/>
      <c r="E2529" s="32"/>
      <c r="F2529" s="34"/>
      <c r="G2529" s="32"/>
      <c r="H2529" s="32"/>
      <c r="K2529" s="41"/>
      <c r="M2529" s="41"/>
      <c r="N2529" s="42"/>
    </row>
    <row r="2530">
      <c r="A2530" s="31"/>
      <c r="B2530" s="31"/>
      <c r="C2530" s="32"/>
      <c r="D2530" s="40"/>
      <c r="E2530" s="32"/>
      <c r="F2530" s="34"/>
      <c r="G2530" s="32"/>
      <c r="H2530" s="32"/>
      <c r="K2530" s="41"/>
      <c r="M2530" s="41"/>
      <c r="N2530" s="42"/>
    </row>
    <row r="2531">
      <c r="A2531" s="31"/>
      <c r="B2531" s="31"/>
      <c r="C2531" s="32"/>
      <c r="D2531" s="40"/>
      <c r="E2531" s="32"/>
      <c r="F2531" s="34"/>
      <c r="G2531" s="32"/>
      <c r="H2531" s="32"/>
      <c r="K2531" s="41"/>
      <c r="M2531" s="41"/>
      <c r="N2531" s="42"/>
    </row>
    <row r="2532">
      <c r="A2532" s="31"/>
      <c r="B2532" s="31"/>
      <c r="C2532" s="32"/>
      <c r="D2532" s="40"/>
      <c r="E2532" s="32"/>
      <c r="F2532" s="34"/>
      <c r="G2532" s="32"/>
      <c r="H2532" s="32"/>
      <c r="K2532" s="41"/>
      <c r="M2532" s="41"/>
      <c r="N2532" s="42"/>
    </row>
    <row r="2533">
      <c r="A2533" s="31"/>
      <c r="B2533" s="31"/>
      <c r="C2533" s="32"/>
      <c r="D2533" s="40"/>
      <c r="E2533" s="32"/>
      <c r="F2533" s="34"/>
      <c r="G2533" s="32"/>
      <c r="H2533" s="32"/>
      <c r="K2533" s="41"/>
      <c r="M2533" s="41"/>
      <c r="N2533" s="42"/>
    </row>
    <row r="2534">
      <c r="A2534" s="31"/>
      <c r="B2534" s="31"/>
      <c r="C2534" s="32"/>
      <c r="D2534" s="40"/>
      <c r="E2534" s="32"/>
      <c r="F2534" s="34"/>
      <c r="G2534" s="32"/>
      <c r="H2534" s="32"/>
      <c r="K2534" s="41"/>
      <c r="M2534" s="41"/>
      <c r="N2534" s="42"/>
    </row>
    <row r="2535">
      <c r="A2535" s="31"/>
      <c r="B2535" s="31"/>
      <c r="C2535" s="32"/>
      <c r="D2535" s="40"/>
      <c r="E2535" s="32"/>
      <c r="F2535" s="34"/>
      <c r="G2535" s="32"/>
      <c r="H2535" s="32"/>
      <c r="K2535" s="41"/>
      <c r="M2535" s="41"/>
      <c r="N2535" s="42"/>
    </row>
    <row r="2536">
      <c r="A2536" s="31"/>
      <c r="B2536" s="31"/>
      <c r="C2536" s="32"/>
      <c r="D2536" s="40"/>
      <c r="E2536" s="32"/>
      <c r="F2536" s="34"/>
      <c r="G2536" s="32"/>
      <c r="H2536" s="32"/>
      <c r="K2536" s="41"/>
      <c r="M2536" s="41"/>
      <c r="N2536" s="42"/>
    </row>
    <row r="2537">
      <c r="A2537" s="31"/>
      <c r="B2537" s="31"/>
      <c r="C2537" s="32"/>
      <c r="D2537" s="40"/>
      <c r="E2537" s="32"/>
      <c r="F2537" s="34"/>
      <c r="G2537" s="32"/>
      <c r="H2537" s="32"/>
      <c r="K2537" s="41"/>
      <c r="M2537" s="41"/>
      <c r="N2537" s="42"/>
    </row>
    <row r="2538">
      <c r="A2538" s="31"/>
      <c r="B2538" s="31"/>
      <c r="C2538" s="32"/>
      <c r="D2538" s="40"/>
      <c r="E2538" s="32"/>
      <c r="F2538" s="34"/>
      <c r="G2538" s="32"/>
      <c r="H2538" s="32"/>
      <c r="K2538" s="41"/>
      <c r="M2538" s="41"/>
      <c r="N2538" s="42"/>
    </row>
    <row r="2539">
      <c r="A2539" s="31"/>
      <c r="B2539" s="31"/>
      <c r="C2539" s="32"/>
      <c r="D2539" s="40"/>
      <c r="E2539" s="32"/>
      <c r="F2539" s="34"/>
      <c r="G2539" s="32"/>
      <c r="H2539" s="32"/>
      <c r="K2539" s="41"/>
      <c r="M2539" s="41"/>
      <c r="N2539" s="42"/>
    </row>
    <row r="2540">
      <c r="A2540" s="31"/>
      <c r="B2540" s="31"/>
      <c r="C2540" s="32"/>
      <c r="D2540" s="40"/>
      <c r="E2540" s="32"/>
      <c r="F2540" s="34"/>
      <c r="G2540" s="32"/>
      <c r="H2540" s="32"/>
      <c r="K2540" s="41"/>
      <c r="M2540" s="41"/>
      <c r="N2540" s="42"/>
    </row>
    <row r="2541">
      <c r="A2541" s="31"/>
      <c r="B2541" s="31"/>
      <c r="C2541" s="32"/>
      <c r="D2541" s="40"/>
      <c r="E2541" s="32"/>
      <c r="F2541" s="34"/>
      <c r="G2541" s="32"/>
      <c r="H2541" s="32"/>
      <c r="K2541" s="41"/>
      <c r="M2541" s="41"/>
      <c r="N2541" s="42"/>
    </row>
    <row r="2542">
      <c r="A2542" s="31"/>
      <c r="B2542" s="31"/>
      <c r="C2542" s="32"/>
      <c r="D2542" s="40"/>
      <c r="E2542" s="32"/>
      <c r="F2542" s="34"/>
      <c r="G2542" s="32"/>
      <c r="H2542" s="32"/>
      <c r="K2542" s="41"/>
      <c r="M2542" s="41"/>
      <c r="N2542" s="42"/>
    </row>
    <row r="2543">
      <c r="A2543" s="31"/>
      <c r="B2543" s="31"/>
      <c r="C2543" s="32"/>
      <c r="D2543" s="40"/>
      <c r="E2543" s="32"/>
      <c r="F2543" s="34"/>
      <c r="G2543" s="32"/>
      <c r="H2543" s="32"/>
      <c r="K2543" s="41"/>
      <c r="M2543" s="41"/>
      <c r="N2543" s="42"/>
    </row>
    <row r="2544">
      <c r="A2544" s="31"/>
      <c r="B2544" s="31"/>
      <c r="C2544" s="32"/>
      <c r="D2544" s="40"/>
      <c r="E2544" s="32"/>
      <c r="F2544" s="34"/>
      <c r="G2544" s="32"/>
      <c r="H2544" s="32"/>
      <c r="K2544" s="41"/>
      <c r="M2544" s="41"/>
      <c r="N2544" s="42"/>
    </row>
    <row r="2545">
      <c r="A2545" s="31"/>
      <c r="B2545" s="31"/>
      <c r="C2545" s="32"/>
      <c r="D2545" s="40"/>
      <c r="E2545" s="32"/>
      <c r="F2545" s="34"/>
      <c r="G2545" s="32"/>
      <c r="H2545" s="32"/>
      <c r="K2545" s="41"/>
      <c r="M2545" s="41"/>
      <c r="N2545" s="42"/>
    </row>
    <row r="2546">
      <c r="A2546" s="31"/>
      <c r="B2546" s="31"/>
      <c r="C2546" s="32"/>
      <c r="D2546" s="40"/>
      <c r="E2546" s="32"/>
      <c r="F2546" s="34"/>
      <c r="G2546" s="32"/>
      <c r="H2546" s="32"/>
      <c r="K2546" s="41"/>
      <c r="M2546" s="41"/>
      <c r="N2546" s="42"/>
    </row>
    <row r="2547">
      <c r="A2547" s="31"/>
      <c r="B2547" s="31"/>
      <c r="C2547" s="32"/>
      <c r="D2547" s="40"/>
      <c r="E2547" s="32"/>
      <c r="F2547" s="34"/>
      <c r="G2547" s="32"/>
      <c r="H2547" s="32"/>
      <c r="K2547" s="41"/>
      <c r="M2547" s="41"/>
      <c r="N2547" s="42"/>
    </row>
    <row r="2548">
      <c r="A2548" s="31"/>
      <c r="B2548" s="31"/>
      <c r="C2548" s="32"/>
      <c r="D2548" s="40"/>
      <c r="E2548" s="32"/>
      <c r="F2548" s="34"/>
      <c r="G2548" s="32"/>
      <c r="H2548" s="32"/>
      <c r="K2548" s="41"/>
      <c r="M2548" s="41"/>
      <c r="N2548" s="42"/>
    </row>
    <row r="2549">
      <c r="A2549" s="31"/>
      <c r="B2549" s="31"/>
      <c r="C2549" s="32"/>
      <c r="D2549" s="40"/>
      <c r="E2549" s="32"/>
      <c r="F2549" s="34"/>
      <c r="G2549" s="32"/>
      <c r="H2549" s="32"/>
      <c r="K2549" s="41"/>
      <c r="M2549" s="41"/>
      <c r="N2549" s="42"/>
    </row>
    <row r="2550">
      <c r="A2550" s="31"/>
      <c r="B2550" s="31"/>
      <c r="C2550" s="32"/>
      <c r="D2550" s="40"/>
      <c r="E2550" s="32"/>
      <c r="F2550" s="34"/>
      <c r="G2550" s="32"/>
      <c r="H2550" s="32"/>
      <c r="K2550" s="41"/>
      <c r="M2550" s="41"/>
      <c r="N2550" s="42"/>
    </row>
    <row r="2551">
      <c r="A2551" s="31"/>
      <c r="B2551" s="31"/>
      <c r="C2551" s="32"/>
      <c r="D2551" s="40"/>
      <c r="E2551" s="32"/>
      <c r="F2551" s="34"/>
      <c r="G2551" s="32"/>
      <c r="H2551" s="32"/>
      <c r="K2551" s="41"/>
      <c r="M2551" s="41"/>
      <c r="N2551" s="42"/>
    </row>
    <row r="2552">
      <c r="A2552" s="31"/>
      <c r="B2552" s="31"/>
      <c r="C2552" s="32"/>
      <c r="D2552" s="40"/>
      <c r="E2552" s="32"/>
      <c r="F2552" s="34"/>
      <c r="G2552" s="32"/>
      <c r="H2552" s="32"/>
      <c r="K2552" s="41"/>
      <c r="M2552" s="41"/>
      <c r="N2552" s="42"/>
    </row>
    <row r="2553">
      <c r="A2553" s="31"/>
      <c r="B2553" s="31"/>
      <c r="C2553" s="32"/>
      <c r="D2553" s="40"/>
      <c r="E2553" s="32"/>
      <c r="F2553" s="34"/>
      <c r="G2553" s="32"/>
      <c r="H2553" s="32"/>
      <c r="K2553" s="41"/>
      <c r="M2553" s="41"/>
      <c r="N2553" s="42"/>
    </row>
    <row r="2554">
      <c r="A2554" s="31"/>
      <c r="B2554" s="31"/>
      <c r="C2554" s="32"/>
      <c r="D2554" s="40"/>
      <c r="E2554" s="32"/>
      <c r="F2554" s="34"/>
      <c r="G2554" s="32"/>
      <c r="H2554" s="32"/>
      <c r="K2554" s="41"/>
      <c r="M2554" s="41"/>
      <c r="N2554" s="42"/>
    </row>
    <row r="2555">
      <c r="A2555" s="31"/>
      <c r="B2555" s="31"/>
      <c r="C2555" s="32"/>
      <c r="D2555" s="40"/>
      <c r="E2555" s="32"/>
      <c r="F2555" s="34"/>
      <c r="G2555" s="32"/>
      <c r="H2555" s="32"/>
      <c r="K2555" s="41"/>
      <c r="M2555" s="41"/>
      <c r="N2555" s="42"/>
    </row>
    <row r="2556">
      <c r="A2556" s="31"/>
      <c r="B2556" s="31"/>
      <c r="C2556" s="32"/>
      <c r="D2556" s="40"/>
      <c r="E2556" s="32"/>
      <c r="F2556" s="34"/>
      <c r="G2556" s="32"/>
      <c r="H2556" s="32"/>
      <c r="K2556" s="41"/>
      <c r="M2556" s="41"/>
      <c r="N2556" s="42"/>
    </row>
    <row r="2557">
      <c r="A2557" s="31"/>
      <c r="B2557" s="31"/>
      <c r="C2557" s="32"/>
      <c r="D2557" s="40"/>
      <c r="E2557" s="32"/>
      <c r="F2557" s="34"/>
      <c r="G2557" s="32"/>
      <c r="H2557" s="32"/>
      <c r="K2557" s="41"/>
      <c r="M2557" s="41"/>
      <c r="N2557" s="42"/>
    </row>
    <row r="2558">
      <c r="A2558" s="31"/>
      <c r="B2558" s="31"/>
      <c r="C2558" s="32"/>
      <c r="D2558" s="40"/>
      <c r="E2558" s="32"/>
      <c r="F2558" s="34"/>
      <c r="G2558" s="32"/>
      <c r="H2558" s="32"/>
      <c r="K2558" s="41"/>
      <c r="M2558" s="41"/>
      <c r="N2558" s="42"/>
    </row>
    <row r="2559">
      <c r="A2559" s="31"/>
      <c r="B2559" s="31"/>
      <c r="C2559" s="32"/>
      <c r="D2559" s="40"/>
      <c r="E2559" s="32"/>
      <c r="F2559" s="34"/>
      <c r="G2559" s="32"/>
      <c r="H2559" s="32"/>
      <c r="K2559" s="41"/>
      <c r="M2559" s="41"/>
      <c r="N2559" s="42"/>
    </row>
    <row r="2560">
      <c r="A2560" s="31"/>
      <c r="B2560" s="31"/>
      <c r="C2560" s="32"/>
      <c r="D2560" s="40"/>
      <c r="E2560" s="32"/>
      <c r="F2560" s="34"/>
      <c r="G2560" s="32"/>
      <c r="H2560" s="32"/>
      <c r="K2560" s="41"/>
      <c r="M2560" s="41"/>
      <c r="N2560" s="42"/>
    </row>
    <row r="2561">
      <c r="A2561" s="31"/>
      <c r="B2561" s="31"/>
      <c r="C2561" s="32"/>
      <c r="D2561" s="40"/>
      <c r="E2561" s="32"/>
      <c r="F2561" s="34"/>
      <c r="G2561" s="32"/>
      <c r="H2561" s="32"/>
      <c r="K2561" s="41"/>
      <c r="M2561" s="41"/>
      <c r="N2561" s="42"/>
    </row>
    <row r="2562">
      <c r="A2562" s="31"/>
      <c r="B2562" s="31"/>
      <c r="C2562" s="32"/>
      <c r="D2562" s="40"/>
      <c r="E2562" s="32"/>
      <c r="F2562" s="34"/>
      <c r="G2562" s="32"/>
      <c r="H2562" s="32"/>
      <c r="K2562" s="41"/>
      <c r="M2562" s="41"/>
      <c r="N2562" s="42"/>
    </row>
    <row r="2563">
      <c r="A2563" s="31"/>
      <c r="B2563" s="31"/>
      <c r="C2563" s="32"/>
      <c r="D2563" s="40"/>
      <c r="E2563" s="32"/>
      <c r="F2563" s="34"/>
      <c r="G2563" s="32"/>
      <c r="H2563" s="32"/>
      <c r="K2563" s="41"/>
      <c r="M2563" s="41"/>
      <c r="N2563" s="42"/>
    </row>
    <row r="2564">
      <c r="A2564" s="31"/>
      <c r="B2564" s="31"/>
      <c r="C2564" s="32"/>
      <c r="D2564" s="40"/>
      <c r="E2564" s="32"/>
      <c r="F2564" s="34"/>
      <c r="G2564" s="32"/>
      <c r="H2564" s="32"/>
      <c r="K2564" s="41"/>
      <c r="M2564" s="41"/>
      <c r="N2564" s="42"/>
    </row>
    <row r="2565">
      <c r="A2565" s="31"/>
      <c r="B2565" s="31"/>
      <c r="C2565" s="32"/>
      <c r="D2565" s="40"/>
      <c r="E2565" s="32"/>
      <c r="F2565" s="34"/>
      <c r="G2565" s="32"/>
      <c r="H2565" s="32"/>
      <c r="K2565" s="41"/>
      <c r="M2565" s="41"/>
      <c r="N2565" s="42"/>
    </row>
    <row r="2566">
      <c r="A2566" s="31"/>
      <c r="B2566" s="31"/>
      <c r="C2566" s="32"/>
      <c r="D2566" s="40"/>
      <c r="E2566" s="32"/>
      <c r="F2566" s="34"/>
      <c r="G2566" s="32"/>
      <c r="H2566" s="32"/>
      <c r="K2566" s="41"/>
      <c r="M2566" s="41"/>
      <c r="N2566" s="42"/>
    </row>
    <row r="2567">
      <c r="A2567" s="31"/>
      <c r="B2567" s="31"/>
      <c r="C2567" s="32"/>
      <c r="D2567" s="40"/>
      <c r="E2567" s="32"/>
      <c r="F2567" s="34"/>
      <c r="G2567" s="32"/>
      <c r="H2567" s="32"/>
      <c r="K2567" s="41"/>
      <c r="M2567" s="41"/>
      <c r="N2567" s="42"/>
    </row>
    <row r="2568">
      <c r="A2568" s="31"/>
      <c r="B2568" s="31"/>
      <c r="C2568" s="32"/>
      <c r="D2568" s="40"/>
      <c r="E2568" s="32"/>
      <c r="F2568" s="34"/>
      <c r="G2568" s="32"/>
      <c r="H2568" s="32"/>
      <c r="K2568" s="41"/>
      <c r="M2568" s="41"/>
      <c r="N2568" s="42"/>
    </row>
    <row r="2569">
      <c r="A2569" s="31"/>
      <c r="B2569" s="31"/>
      <c r="C2569" s="32"/>
      <c r="D2569" s="40"/>
      <c r="E2569" s="32"/>
      <c r="F2569" s="34"/>
      <c r="G2569" s="32"/>
      <c r="H2569" s="32"/>
      <c r="K2569" s="41"/>
      <c r="M2569" s="41"/>
      <c r="N2569" s="42"/>
    </row>
    <row r="2570">
      <c r="A2570" s="31"/>
      <c r="B2570" s="31"/>
      <c r="C2570" s="32"/>
      <c r="D2570" s="40"/>
      <c r="E2570" s="32"/>
      <c r="F2570" s="34"/>
      <c r="G2570" s="32"/>
      <c r="H2570" s="32"/>
      <c r="K2570" s="41"/>
      <c r="M2570" s="41"/>
      <c r="N2570" s="42"/>
    </row>
    <row r="2571">
      <c r="A2571" s="31"/>
      <c r="B2571" s="31"/>
      <c r="C2571" s="32"/>
      <c r="D2571" s="40"/>
      <c r="E2571" s="32"/>
      <c r="F2571" s="34"/>
      <c r="G2571" s="32"/>
      <c r="H2571" s="32"/>
      <c r="K2571" s="41"/>
      <c r="M2571" s="41"/>
      <c r="N2571" s="42"/>
    </row>
    <row r="2572">
      <c r="A2572" s="31"/>
      <c r="B2572" s="31"/>
      <c r="C2572" s="32"/>
      <c r="D2572" s="40"/>
      <c r="E2572" s="32"/>
      <c r="F2572" s="34"/>
      <c r="G2572" s="32"/>
      <c r="H2572" s="32"/>
      <c r="K2572" s="41"/>
      <c r="M2572" s="41"/>
      <c r="N2572" s="42"/>
    </row>
    <row r="2573">
      <c r="A2573" s="31"/>
      <c r="B2573" s="31"/>
      <c r="C2573" s="32"/>
      <c r="D2573" s="40"/>
      <c r="E2573" s="32"/>
      <c r="F2573" s="34"/>
      <c r="G2573" s="32"/>
      <c r="H2573" s="32"/>
      <c r="K2573" s="41"/>
      <c r="M2573" s="41"/>
      <c r="N2573" s="42"/>
    </row>
    <row r="2574">
      <c r="A2574" s="31"/>
      <c r="B2574" s="31"/>
      <c r="C2574" s="32"/>
      <c r="D2574" s="40"/>
      <c r="E2574" s="32"/>
      <c r="F2574" s="34"/>
      <c r="G2574" s="32"/>
      <c r="H2574" s="32"/>
      <c r="K2574" s="41"/>
      <c r="M2574" s="41"/>
      <c r="N2574" s="42"/>
    </row>
    <row r="2575">
      <c r="A2575" s="31"/>
      <c r="B2575" s="31"/>
      <c r="C2575" s="32"/>
      <c r="D2575" s="40"/>
      <c r="E2575" s="32"/>
      <c r="F2575" s="34"/>
      <c r="G2575" s="32"/>
      <c r="H2575" s="32"/>
      <c r="K2575" s="41"/>
      <c r="M2575" s="41"/>
      <c r="N2575" s="42"/>
    </row>
    <row r="2576">
      <c r="A2576" s="31"/>
      <c r="B2576" s="31"/>
      <c r="C2576" s="32"/>
      <c r="D2576" s="40"/>
      <c r="E2576" s="32"/>
      <c r="F2576" s="34"/>
      <c r="G2576" s="32"/>
      <c r="H2576" s="32"/>
      <c r="K2576" s="41"/>
      <c r="M2576" s="41"/>
      <c r="N2576" s="42"/>
    </row>
    <row r="2577">
      <c r="A2577" s="31"/>
      <c r="B2577" s="31"/>
      <c r="C2577" s="32"/>
      <c r="D2577" s="40"/>
      <c r="E2577" s="32"/>
      <c r="F2577" s="34"/>
      <c r="G2577" s="32"/>
      <c r="H2577" s="32"/>
      <c r="K2577" s="41"/>
      <c r="M2577" s="41"/>
      <c r="N2577" s="42"/>
    </row>
    <row r="2578">
      <c r="A2578" s="31"/>
      <c r="B2578" s="31"/>
      <c r="C2578" s="32"/>
      <c r="D2578" s="40"/>
      <c r="E2578" s="32"/>
      <c r="F2578" s="34"/>
      <c r="G2578" s="32"/>
      <c r="H2578" s="32"/>
      <c r="K2578" s="41"/>
      <c r="M2578" s="41"/>
      <c r="N2578" s="42"/>
    </row>
    <row r="2579">
      <c r="A2579" s="31"/>
      <c r="B2579" s="31"/>
      <c r="C2579" s="32"/>
      <c r="D2579" s="40"/>
      <c r="E2579" s="32"/>
      <c r="F2579" s="34"/>
      <c r="G2579" s="32"/>
      <c r="H2579" s="32"/>
      <c r="K2579" s="41"/>
      <c r="M2579" s="41"/>
      <c r="N2579" s="42"/>
    </row>
    <row r="2580">
      <c r="A2580" s="31"/>
      <c r="B2580" s="31"/>
      <c r="C2580" s="32"/>
      <c r="D2580" s="40"/>
      <c r="E2580" s="32"/>
      <c r="F2580" s="34"/>
      <c r="G2580" s="32"/>
      <c r="H2580" s="32"/>
      <c r="K2580" s="41"/>
      <c r="M2580" s="41"/>
      <c r="N2580" s="42"/>
    </row>
    <row r="2581">
      <c r="A2581" s="31"/>
      <c r="B2581" s="31"/>
      <c r="C2581" s="32"/>
      <c r="D2581" s="40"/>
      <c r="E2581" s="32"/>
      <c r="F2581" s="34"/>
      <c r="G2581" s="32"/>
      <c r="H2581" s="32"/>
      <c r="K2581" s="41"/>
      <c r="M2581" s="41"/>
      <c r="N2581" s="42"/>
    </row>
    <row r="2582">
      <c r="A2582" s="31"/>
      <c r="B2582" s="31"/>
      <c r="C2582" s="32"/>
      <c r="D2582" s="40"/>
      <c r="E2582" s="32"/>
      <c r="F2582" s="34"/>
      <c r="G2582" s="32"/>
      <c r="H2582" s="32"/>
      <c r="K2582" s="41"/>
      <c r="M2582" s="41"/>
      <c r="N2582" s="42"/>
    </row>
    <row r="2583">
      <c r="A2583" s="31"/>
      <c r="B2583" s="31"/>
      <c r="C2583" s="32"/>
      <c r="D2583" s="40"/>
      <c r="E2583" s="32"/>
      <c r="F2583" s="34"/>
      <c r="G2583" s="32"/>
      <c r="H2583" s="32"/>
      <c r="K2583" s="41"/>
      <c r="M2583" s="41"/>
      <c r="N2583" s="42"/>
    </row>
    <row r="2584">
      <c r="A2584" s="31"/>
      <c r="B2584" s="31"/>
      <c r="C2584" s="32"/>
      <c r="D2584" s="40"/>
      <c r="E2584" s="32"/>
      <c r="F2584" s="34"/>
      <c r="G2584" s="32"/>
      <c r="H2584" s="32"/>
      <c r="K2584" s="41"/>
      <c r="M2584" s="41"/>
      <c r="N2584" s="42"/>
    </row>
    <row r="2585">
      <c r="A2585" s="31"/>
      <c r="B2585" s="31"/>
      <c r="C2585" s="32"/>
      <c r="D2585" s="40"/>
      <c r="E2585" s="32"/>
      <c r="F2585" s="34"/>
      <c r="G2585" s="32"/>
      <c r="H2585" s="32"/>
      <c r="K2585" s="41"/>
      <c r="M2585" s="41"/>
      <c r="N2585" s="42"/>
    </row>
    <row r="2586">
      <c r="A2586" s="31"/>
      <c r="B2586" s="31"/>
      <c r="C2586" s="32"/>
      <c r="D2586" s="40"/>
      <c r="E2586" s="32"/>
      <c r="F2586" s="34"/>
      <c r="G2586" s="32"/>
      <c r="H2586" s="32"/>
      <c r="K2586" s="41"/>
      <c r="M2586" s="41"/>
      <c r="N2586" s="42"/>
    </row>
    <row r="2587">
      <c r="A2587" s="31"/>
      <c r="B2587" s="31"/>
      <c r="C2587" s="32"/>
      <c r="D2587" s="40"/>
      <c r="E2587" s="32"/>
      <c r="F2587" s="34"/>
      <c r="G2587" s="32"/>
      <c r="H2587" s="32"/>
      <c r="K2587" s="41"/>
      <c r="M2587" s="41"/>
      <c r="N2587" s="42"/>
    </row>
    <row r="2588">
      <c r="A2588" s="31"/>
      <c r="B2588" s="31"/>
      <c r="C2588" s="32"/>
      <c r="D2588" s="40"/>
      <c r="E2588" s="32"/>
      <c r="F2588" s="34"/>
      <c r="G2588" s="32"/>
      <c r="H2588" s="32"/>
      <c r="K2588" s="41"/>
      <c r="M2588" s="41"/>
      <c r="N2588" s="42"/>
    </row>
    <row r="2589">
      <c r="A2589" s="31"/>
      <c r="B2589" s="31"/>
      <c r="C2589" s="32"/>
      <c r="D2589" s="40"/>
      <c r="E2589" s="32"/>
      <c r="F2589" s="34"/>
      <c r="G2589" s="32"/>
      <c r="H2589" s="32"/>
      <c r="K2589" s="41"/>
      <c r="M2589" s="41"/>
      <c r="N2589" s="42"/>
    </row>
    <row r="2590">
      <c r="A2590" s="31"/>
      <c r="B2590" s="31"/>
      <c r="C2590" s="32"/>
      <c r="D2590" s="40"/>
      <c r="E2590" s="32"/>
      <c r="F2590" s="34"/>
      <c r="G2590" s="32"/>
      <c r="H2590" s="32"/>
      <c r="K2590" s="41"/>
      <c r="M2590" s="41"/>
      <c r="N2590" s="42"/>
    </row>
    <row r="2591">
      <c r="A2591" s="31"/>
      <c r="B2591" s="31"/>
      <c r="C2591" s="32"/>
      <c r="D2591" s="40"/>
      <c r="E2591" s="32"/>
      <c r="F2591" s="34"/>
      <c r="G2591" s="32"/>
      <c r="H2591" s="32"/>
      <c r="K2591" s="41"/>
      <c r="M2591" s="41"/>
      <c r="N2591" s="42"/>
    </row>
    <row r="2592">
      <c r="A2592" s="31"/>
      <c r="B2592" s="31"/>
      <c r="C2592" s="32"/>
      <c r="D2592" s="40"/>
      <c r="E2592" s="32"/>
      <c r="F2592" s="34"/>
      <c r="G2592" s="32"/>
      <c r="H2592" s="32"/>
      <c r="K2592" s="41"/>
      <c r="M2592" s="41"/>
      <c r="N2592" s="42"/>
    </row>
    <row r="2593">
      <c r="A2593" s="31"/>
      <c r="B2593" s="31"/>
      <c r="C2593" s="32"/>
      <c r="D2593" s="40"/>
      <c r="E2593" s="32"/>
      <c r="F2593" s="34"/>
      <c r="G2593" s="32"/>
      <c r="H2593" s="32"/>
      <c r="K2593" s="41"/>
      <c r="M2593" s="41"/>
      <c r="N2593" s="42"/>
    </row>
    <row r="2594">
      <c r="A2594" s="31"/>
      <c r="B2594" s="31"/>
      <c r="C2594" s="32"/>
      <c r="D2594" s="40"/>
      <c r="E2594" s="32"/>
      <c r="F2594" s="34"/>
      <c r="G2594" s="32"/>
      <c r="H2594" s="32"/>
      <c r="K2594" s="41"/>
      <c r="M2594" s="41"/>
      <c r="N2594" s="42"/>
    </row>
    <row r="2595">
      <c r="A2595" s="31"/>
      <c r="B2595" s="31"/>
      <c r="C2595" s="32"/>
      <c r="D2595" s="40"/>
      <c r="E2595" s="32"/>
      <c r="F2595" s="34"/>
      <c r="G2595" s="32"/>
      <c r="H2595" s="32"/>
      <c r="K2595" s="41"/>
      <c r="M2595" s="41"/>
      <c r="N2595" s="42"/>
    </row>
    <row r="2596">
      <c r="A2596" s="31"/>
      <c r="B2596" s="31"/>
      <c r="C2596" s="32"/>
      <c r="D2596" s="40"/>
      <c r="E2596" s="32"/>
      <c r="F2596" s="34"/>
      <c r="G2596" s="32"/>
      <c r="H2596" s="32"/>
      <c r="K2596" s="41"/>
      <c r="M2596" s="41"/>
      <c r="N2596" s="42"/>
    </row>
    <row r="2597">
      <c r="A2597" s="31"/>
      <c r="B2597" s="31"/>
      <c r="C2597" s="32"/>
      <c r="D2597" s="40"/>
      <c r="E2597" s="32"/>
      <c r="F2597" s="34"/>
      <c r="G2597" s="32"/>
      <c r="H2597" s="32"/>
      <c r="K2597" s="41"/>
      <c r="M2597" s="41"/>
      <c r="N2597" s="42"/>
    </row>
    <row r="2598">
      <c r="A2598" s="31"/>
      <c r="B2598" s="31"/>
      <c r="C2598" s="32"/>
      <c r="D2598" s="40"/>
      <c r="E2598" s="32"/>
      <c r="F2598" s="34"/>
      <c r="G2598" s="32"/>
      <c r="H2598" s="32"/>
      <c r="K2598" s="41"/>
      <c r="M2598" s="41"/>
      <c r="N2598" s="42"/>
    </row>
    <row r="2599">
      <c r="A2599" s="31"/>
      <c r="B2599" s="31"/>
      <c r="C2599" s="32"/>
      <c r="D2599" s="40"/>
      <c r="E2599" s="32"/>
      <c r="F2599" s="34"/>
      <c r="G2599" s="32"/>
      <c r="H2599" s="32"/>
      <c r="K2599" s="41"/>
      <c r="M2599" s="41"/>
      <c r="N2599" s="42"/>
    </row>
    <row r="2600">
      <c r="A2600" s="31"/>
      <c r="B2600" s="31"/>
      <c r="C2600" s="32"/>
      <c r="D2600" s="40"/>
      <c r="E2600" s="32"/>
      <c r="F2600" s="34"/>
      <c r="G2600" s="32"/>
      <c r="H2600" s="32"/>
      <c r="K2600" s="41"/>
      <c r="M2600" s="41"/>
      <c r="N2600" s="42"/>
    </row>
    <row r="2601">
      <c r="A2601" s="31"/>
      <c r="B2601" s="31"/>
      <c r="C2601" s="32"/>
      <c r="D2601" s="40"/>
      <c r="E2601" s="32"/>
      <c r="F2601" s="34"/>
      <c r="G2601" s="32"/>
      <c r="H2601" s="32"/>
      <c r="K2601" s="41"/>
      <c r="M2601" s="41"/>
      <c r="N2601" s="42"/>
    </row>
    <row r="2602">
      <c r="A2602" s="31"/>
      <c r="B2602" s="31"/>
      <c r="C2602" s="32"/>
      <c r="D2602" s="40"/>
      <c r="E2602" s="32"/>
      <c r="F2602" s="34"/>
      <c r="G2602" s="32"/>
      <c r="H2602" s="32"/>
      <c r="K2602" s="41"/>
      <c r="M2602" s="41"/>
      <c r="N2602" s="42"/>
    </row>
    <row r="2603">
      <c r="A2603" s="31"/>
      <c r="B2603" s="31"/>
      <c r="C2603" s="32"/>
      <c r="D2603" s="40"/>
      <c r="E2603" s="32"/>
      <c r="F2603" s="34"/>
      <c r="G2603" s="32"/>
      <c r="H2603" s="32"/>
      <c r="K2603" s="41"/>
      <c r="M2603" s="41"/>
      <c r="N2603" s="42"/>
    </row>
    <row r="2604">
      <c r="A2604" s="31"/>
      <c r="B2604" s="31"/>
      <c r="C2604" s="32"/>
      <c r="D2604" s="40"/>
      <c r="E2604" s="32"/>
      <c r="F2604" s="34"/>
      <c r="G2604" s="32"/>
      <c r="H2604" s="32"/>
      <c r="K2604" s="41"/>
      <c r="M2604" s="41"/>
      <c r="N2604" s="42"/>
    </row>
    <row r="2605">
      <c r="A2605" s="31"/>
      <c r="B2605" s="31"/>
      <c r="C2605" s="32"/>
      <c r="D2605" s="40"/>
      <c r="E2605" s="32"/>
      <c r="F2605" s="34"/>
      <c r="G2605" s="32"/>
      <c r="H2605" s="32"/>
      <c r="K2605" s="41"/>
      <c r="M2605" s="41"/>
      <c r="N2605" s="42"/>
    </row>
    <row r="2606">
      <c r="A2606" s="31"/>
      <c r="B2606" s="31"/>
      <c r="C2606" s="32"/>
      <c r="D2606" s="40"/>
      <c r="E2606" s="32"/>
      <c r="F2606" s="34"/>
      <c r="G2606" s="32"/>
      <c r="H2606" s="32"/>
      <c r="K2606" s="41"/>
      <c r="M2606" s="41"/>
      <c r="N2606" s="42"/>
    </row>
    <row r="2607">
      <c r="A2607" s="31"/>
      <c r="B2607" s="31"/>
      <c r="C2607" s="32"/>
      <c r="D2607" s="40"/>
      <c r="E2607" s="32"/>
      <c r="F2607" s="34"/>
      <c r="G2607" s="32"/>
      <c r="H2607" s="32"/>
      <c r="K2607" s="41"/>
      <c r="M2607" s="41"/>
      <c r="N2607" s="42"/>
    </row>
    <row r="2608">
      <c r="A2608" s="31"/>
      <c r="B2608" s="31"/>
      <c r="C2608" s="32"/>
      <c r="D2608" s="40"/>
      <c r="E2608" s="32"/>
      <c r="F2608" s="34"/>
      <c r="G2608" s="32"/>
      <c r="H2608" s="32"/>
      <c r="K2608" s="41"/>
      <c r="M2608" s="41"/>
      <c r="N2608" s="42"/>
    </row>
    <row r="2609">
      <c r="A2609" s="31"/>
      <c r="B2609" s="31"/>
      <c r="C2609" s="32"/>
      <c r="D2609" s="40"/>
      <c r="E2609" s="32"/>
      <c r="F2609" s="34"/>
      <c r="G2609" s="32"/>
      <c r="H2609" s="32"/>
      <c r="K2609" s="41"/>
      <c r="M2609" s="41"/>
      <c r="N2609" s="42"/>
    </row>
    <row r="2610">
      <c r="A2610" s="31"/>
      <c r="B2610" s="31"/>
      <c r="C2610" s="32"/>
      <c r="D2610" s="40"/>
      <c r="E2610" s="32"/>
      <c r="F2610" s="34"/>
      <c r="G2610" s="32"/>
      <c r="H2610" s="32"/>
      <c r="K2610" s="41"/>
      <c r="M2610" s="41"/>
      <c r="N2610" s="42"/>
    </row>
    <row r="2611">
      <c r="A2611" s="31"/>
      <c r="B2611" s="31"/>
      <c r="C2611" s="32"/>
      <c r="D2611" s="40"/>
      <c r="E2611" s="32"/>
      <c r="F2611" s="34"/>
      <c r="G2611" s="32"/>
      <c r="H2611" s="32"/>
      <c r="K2611" s="41"/>
      <c r="M2611" s="41"/>
      <c r="N2611" s="42"/>
    </row>
    <row r="2612">
      <c r="A2612" s="31"/>
      <c r="B2612" s="31"/>
      <c r="C2612" s="32"/>
      <c r="D2612" s="40"/>
      <c r="E2612" s="32"/>
      <c r="F2612" s="34"/>
      <c r="G2612" s="32"/>
      <c r="H2612" s="32"/>
      <c r="K2612" s="41"/>
      <c r="M2612" s="41"/>
      <c r="N2612" s="42"/>
    </row>
    <row r="2613">
      <c r="A2613" s="31"/>
      <c r="B2613" s="31"/>
      <c r="C2613" s="32"/>
      <c r="D2613" s="40"/>
      <c r="E2613" s="32"/>
      <c r="F2613" s="34"/>
      <c r="G2613" s="32"/>
      <c r="H2613" s="32"/>
      <c r="K2613" s="41"/>
      <c r="M2613" s="41"/>
      <c r="N2613" s="42"/>
    </row>
  </sheetData>
  <mergeCells count="1">
    <mergeCell ref="C1:F1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  <hyperlink r:id="rId139" ref="F141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F149"/>
    <hyperlink r:id="rId148" ref="F150"/>
    <hyperlink r:id="rId149" ref="F151"/>
    <hyperlink r:id="rId150" ref="F152"/>
    <hyperlink r:id="rId151" ref="F153"/>
    <hyperlink r:id="rId152" ref="F154"/>
    <hyperlink r:id="rId153" ref="F155"/>
    <hyperlink r:id="rId154" ref="F156"/>
    <hyperlink r:id="rId155" ref="F157"/>
    <hyperlink r:id="rId156" ref="F158"/>
    <hyperlink r:id="rId157" ref="F159"/>
    <hyperlink r:id="rId158" ref="F160"/>
    <hyperlink r:id="rId159" ref="F161"/>
    <hyperlink r:id="rId160" ref="F162"/>
    <hyperlink r:id="rId161" ref="F163"/>
    <hyperlink r:id="rId162" ref="F164"/>
    <hyperlink r:id="rId163" ref="F165"/>
    <hyperlink r:id="rId164" ref="F166"/>
    <hyperlink r:id="rId165" ref="F167"/>
    <hyperlink r:id="rId166" ref="F168"/>
    <hyperlink r:id="rId167" ref="F169"/>
    <hyperlink r:id="rId168" ref="F170"/>
    <hyperlink r:id="rId169" ref="F171"/>
    <hyperlink r:id="rId170" ref="F172"/>
    <hyperlink r:id="rId171" ref="F173"/>
    <hyperlink r:id="rId172" ref="F175"/>
    <hyperlink r:id="rId173" ref="F178"/>
    <hyperlink r:id="rId174" ref="F179"/>
    <hyperlink r:id="rId175" ref="F180"/>
    <hyperlink r:id="rId176" ref="F181"/>
    <hyperlink r:id="rId177" ref="F182"/>
    <hyperlink r:id="rId178" ref="F183"/>
    <hyperlink r:id="rId179" ref="F184"/>
    <hyperlink r:id="rId180" ref="F185"/>
    <hyperlink r:id="rId181" ref="F186"/>
    <hyperlink r:id="rId182" ref="F187"/>
    <hyperlink r:id="rId183" ref="F188"/>
    <hyperlink r:id="rId184" ref="F189"/>
    <hyperlink r:id="rId185" ref="F191"/>
    <hyperlink r:id="rId186" ref="F192"/>
    <hyperlink r:id="rId187" ref="F193"/>
    <hyperlink r:id="rId188" ref="F194"/>
    <hyperlink r:id="rId189" ref="F195"/>
    <hyperlink r:id="rId190" ref="F196"/>
    <hyperlink r:id="rId191" ref="F197"/>
    <hyperlink r:id="rId192" ref="F198"/>
    <hyperlink r:id="rId193" ref="F199"/>
    <hyperlink r:id="rId194" ref="F200"/>
    <hyperlink r:id="rId195" ref="F201"/>
    <hyperlink r:id="rId196" ref="F202"/>
    <hyperlink r:id="rId197" ref="F203"/>
    <hyperlink r:id="rId198" ref="F204"/>
    <hyperlink r:id="rId199" ref="F205"/>
    <hyperlink r:id="rId200" ref="F206"/>
    <hyperlink r:id="rId201" ref="F207"/>
    <hyperlink r:id="rId202" ref="F208"/>
    <hyperlink r:id="rId203" ref="F209"/>
    <hyperlink r:id="rId204" ref="F210"/>
    <hyperlink r:id="rId205" ref="F211"/>
    <hyperlink r:id="rId206" ref="F212"/>
    <hyperlink r:id="rId207" ref="F213"/>
    <hyperlink r:id="rId208" ref="F214"/>
    <hyperlink r:id="rId209" ref="F215"/>
    <hyperlink r:id="rId210" ref="F216"/>
    <hyperlink r:id="rId211" ref="F217"/>
    <hyperlink r:id="rId212" ref="F218"/>
    <hyperlink r:id="rId213" ref="F219"/>
    <hyperlink r:id="rId214" ref="F220"/>
    <hyperlink r:id="rId215" ref="F221"/>
    <hyperlink r:id="rId216" ref="F222"/>
    <hyperlink r:id="rId217" ref="F223"/>
    <hyperlink r:id="rId218" ref="F224"/>
    <hyperlink r:id="rId219" ref="F225"/>
    <hyperlink r:id="rId220" ref="F226"/>
    <hyperlink r:id="rId221" ref="F227"/>
    <hyperlink r:id="rId222" ref="F228"/>
    <hyperlink r:id="rId223" ref="F229"/>
    <hyperlink r:id="rId224" ref="F230"/>
    <hyperlink r:id="rId225" ref="F231"/>
    <hyperlink r:id="rId226" ref="F232"/>
    <hyperlink r:id="rId227" ref="F233"/>
    <hyperlink r:id="rId228" ref="F234"/>
    <hyperlink r:id="rId229" ref="F235"/>
    <hyperlink r:id="rId230" ref="F236"/>
    <hyperlink r:id="rId231" ref="F237"/>
    <hyperlink r:id="rId232" ref="F238"/>
    <hyperlink r:id="rId233" ref="F239"/>
    <hyperlink r:id="rId234" ref="F240"/>
    <hyperlink r:id="rId235" ref="F241"/>
    <hyperlink r:id="rId236" ref="F242"/>
    <hyperlink r:id="rId237" ref="F243"/>
    <hyperlink r:id="rId238" ref="F244"/>
    <hyperlink r:id="rId239" ref="F245"/>
    <hyperlink r:id="rId240" ref="F246"/>
    <hyperlink r:id="rId241" ref="F247"/>
    <hyperlink r:id="rId242" ref="F248"/>
    <hyperlink r:id="rId243" ref="F249"/>
    <hyperlink r:id="rId244" ref="F250"/>
    <hyperlink r:id="rId245" ref="F251"/>
    <hyperlink r:id="rId246" ref="F252"/>
    <hyperlink r:id="rId247" ref="F253"/>
    <hyperlink r:id="rId248" ref="F254"/>
    <hyperlink r:id="rId249" ref="F255"/>
    <hyperlink r:id="rId250" ref="F256"/>
    <hyperlink r:id="rId251" ref="F257"/>
    <hyperlink r:id="rId252" ref="F258"/>
    <hyperlink r:id="rId253" ref="F259"/>
    <hyperlink r:id="rId254" ref="F260"/>
    <hyperlink r:id="rId255" ref="F261"/>
    <hyperlink r:id="rId256" ref="F262"/>
    <hyperlink r:id="rId257" ref="F263"/>
    <hyperlink r:id="rId258" ref="F264"/>
    <hyperlink r:id="rId259" ref="F265"/>
    <hyperlink r:id="rId260" ref="F266"/>
    <hyperlink r:id="rId261" ref="F267"/>
    <hyperlink r:id="rId262" ref="F268"/>
    <hyperlink r:id="rId263" ref="F269"/>
    <hyperlink r:id="rId264" ref="F270"/>
    <hyperlink r:id="rId265" ref="F271"/>
    <hyperlink r:id="rId266" ref="F272"/>
    <hyperlink r:id="rId267" ref="F273"/>
    <hyperlink r:id="rId268" ref="F274"/>
    <hyperlink r:id="rId269" ref="F275"/>
    <hyperlink r:id="rId270" ref="F276"/>
    <hyperlink r:id="rId271" ref="F277"/>
    <hyperlink r:id="rId272" ref="F278"/>
    <hyperlink r:id="rId273" ref="F279"/>
    <hyperlink r:id="rId274" ref="F280"/>
    <hyperlink r:id="rId275" ref="F281"/>
    <hyperlink r:id="rId276" ref="F282"/>
    <hyperlink r:id="rId277" ref="F283"/>
    <hyperlink r:id="rId278" ref="F284"/>
    <hyperlink r:id="rId279" ref="F285"/>
    <hyperlink r:id="rId280" ref="F286"/>
    <hyperlink r:id="rId281" ref="F287"/>
    <hyperlink r:id="rId282" ref="F288"/>
    <hyperlink r:id="rId283" ref="F289"/>
    <hyperlink r:id="rId284" ref="F290"/>
    <hyperlink r:id="rId285" ref="F291"/>
    <hyperlink r:id="rId286" ref="F292"/>
    <hyperlink r:id="rId287" ref="F293"/>
    <hyperlink r:id="rId288" ref="F294"/>
    <hyperlink r:id="rId289" ref="F295"/>
    <hyperlink r:id="rId290" ref="F296"/>
    <hyperlink r:id="rId291" ref="F297"/>
    <hyperlink r:id="rId292" ref="F298"/>
    <hyperlink r:id="rId293" ref="F299"/>
    <hyperlink r:id="rId294" ref="F300"/>
    <hyperlink r:id="rId295" ref="F301"/>
    <hyperlink r:id="rId296" ref="F302"/>
    <hyperlink r:id="rId297" ref="F303"/>
    <hyperlink r:id="rId298" ref="F304"/>
    <hyperlink r:id="rId299" ref="F305"/>
    <hyperlink r:id="rId300" ref="F306"/>
    <hyperlink r:id="rId301" ref="F307"/>
    <hyperlink r:id="rId302" ref="F308"/>
    <hyperlink r:id="rId303" ref="F309"/>
    <hyperlink r:id="rId304" ref="F310"/>
    <hyperlink r:id="rId305" ref="F311"/>
    <hyperlink r:id="rId306" ref="F312"/>
    <hyperlink r:id="rId307" ref="F313"/>
    <hyperlink r:id="rId308" ref="F314"/>
    <hyperlink r:id="rId309" ref="F315"/>
    <hyperlink r:id="rId310" ref="F316"/>
    <hyperlink r:id="rId311" ref="F317"/>
    <hyperlink r:id="rId312" ref="F318"/>
    <hyperlink r:id="rId313" ref="F319"/>
    <hyperlink r:id="rId314" ref="F320"/>
    <hyperlink r:id="rId315" ref="F321"/>
    <hyperlink r:id="rId316" ref="F322"/>
    <hyperlink r:id="rId317" ref="F323"/>
    <hyperlink r:id="rId318" ref="F324"/>
    <hyperlink r:id="rId319" ref="F325"/>
    <hyperlink r:id="rId320" ref="F326"/>
    <hyperlink r:id="rId321" ref="F327"/>
    <hyperlink r:id="rId322" ref="F328"/>
    <hyperlink r:id="rId323" ref="F329"/>
    <hyperlink r:id="rId324" ref="F330"/>
    <hyperlink r:id="rId325" ref="F331"/>
    <hyperlink r:id="rId326" ref="F332"/>
    <hyperlink r:id="rId327" ref="F333"/>
    <hyperlink r:id="rId328" ref="F334"/>
    <hyperlink r:id="rId329" ref="F335"/>
    <hyperlink r:id="rId330" ref="F336"/>
    <hyperlink r:id="rId331" ref="F337"/>
    <hyperlink r:id="rId332" ref="F338"/>
    <hyperlink r:id="rId333" ref="F339"/>
    <hyperlink r:id="rId334" ref="F340"/>
    <hyperlink r:id="rId335" ref="F341"/>
    <hyperlink r:id="rId336" ref="F342"/>
    <hyperlink r:id="rId337" ref="F343"/>
    <hyperlink r:id="rId338" ref="F344"/>
    <hyperlink r:id="rId339" ref="F345"/>
    <hyperlink r:id="rId340" ref="F346"/>
    <hyperlink r:id="rId341" ref="F347"/>
    <hyperlink r:id="rId342" ref="F348"/>
    <hyperlink r:id="rId343" ref="F349"/>
    <hyperlink r:id="rId344" ref="F350"/>
    <hyperlink r:id="rId345" ref="F351"/>
    <hyperlink r:id="rId346" ref="F352"/>
    <hyperlink r:id="rId347" ref="F353"/>
    <hyperlink r:id="rId348" ref="F354"/>
    <hyperlink r:id="rId349" ref="F355"/>
    <hyperlink r:id="rId350" ref="F356"/>
    <hyperlink r:id="rId351" ref="F357"/>
    <hyperlink r:id="rId352" ref="F358"/>
    <hyperlink r:id="rId353" ref="F359"/>
    <hyperlink r:id="rId354" ref="F360"/>
    <hyperlink r:id="rId355" ref="F361"/>
    <hyperlink r:id="rId356" ref="F362"/>
    <hyperlink r:id="rId357" ref="F363"/>
    <hyperlink r:id="rId358" ref="F364"/>
    <hyperlink r:id="rId359" ref="F365"/>
    <hyperlink r:id="rId360" ref="F366"/>
    <hyperlink r:id="rId361" ref="F367"/>
    <hyperlink r:id="rId362" ref="F368"/>
    <hyperlink r:id="rId363" ref="F369"/>
    <hyperlink r:id="rId364" ref="F370"/>
    <hyperlink r:id="rId365" ref="F371"/>
    <hyperlink r:id="rId366" ref="F372"/>
    <hyperlink r:id="rId367" ref="F373"/>
    <hyperlink r:id="rId368" ref="F374"/>
    <hyperlink r:id="rId369" ref="F375"/>
    <hyperlink r:id="rId370" ref="F376"/>
    <hyperlink r:id="rId371" ref="F377"/>
    <hyperlink r:id="rId372" ref="F378"/>
    <hyperlink r:id="rId373" ref="F379"/>
    <hyperlink r:id="rId374" ref="F380"/>
    <hyperlink r:id="rId375" ref="F381"/>
    <hyperlink r:id="rId376" ref="F382"/>
    <hyperlink r:id="rId377" ref="F383"/>
    <hyperlink r:id="rId378" ref="F384"/>
    <hyperlink r:id="rId379" ref="F385"/>
    <hyperlink r:id="rId380" ref="F386"/>
    <hyperlink r:id="rId381" ref="F387"/>
    <hyperlink r:id="rId382" ref="F388"/>
    <hyperlink r:id="rId383" ref="F389"/>
    <hyperlink r:id="rId384" ref="F390"/>
    <hyperlink r:id="rId385" ref="F391"/>
    <hyperlink r:id="rId386" ref="F392"/>
    <hyperlink r:id="rId387" ref="F393"/>
    <hyperlink r:id="rId388" ref="F394"/>
    <hyperlink r:id="rId389" ref="F395"/>
    <hyperlink r:id="rId390" ref="F396"/>
    <hyperlink r:id="rId391" ref="F397"/>
    <hyperlink r:id="rId392" ref="F398"/>
    <hyperlink r:id="rId393" ref="F399"/>
    <hyperlink r:id="rId394" ref="F400"/>
    <hyperlink r:id="rId395" ref="F401"/>
    <hyperlink r:id="rId396" ref="F402"/>
    <hyperlink r:id="rId397" ref="F403"/>
    <hyperlink r:id="rId398" ref="F404"/>
    <hyperlink r:id="rId399" ref="F405"/>
    <hyperlink r:id="rId400" ref="F406"/>
    <hyperlink r:id="rId401" ref="F407"/>
    <hyperlink r:id="rId402" ref="F408"/>
    <hyperlink r:id="rId403" ref="F409"/>
    <hyperlink r:id="rId404" ref="F410"/>
    <hyperlink r:id="rId405" ref="F411"/>
    <hyperlink r:id="rId406" ref="F412"/>
    <hyperlink r:id="rId407" ref="F413"/>
    <hyperlink r:id="rId408" ref="F414"/>
    <hyperlink r:id="rId409" ref="F415"/>
    <hyperlink r:id="rId410" ref="F416"/>
    <hyperlink r:id="rId411" ref="F417"/>
    <hyperlink r:id="rId412" ref="F418"/>
    <hyperlink r:id="rId413" ref="F419"/>
    <hyperlink r:id="rId414" ref="F420"/>
    <hyperlink r:id="rId415" ref="F421"/>
    <hyperlink r:id="rId416" ref="F422"/>
    <hyperlink r:id="rId417" ref="F423"/>
    <hyperlink r:id="rId418" ref="F424"/>
    <hyperlink r:id="rId419" ref="F425"/>
    <hyperlink r:id="rId420" ref="F426"/>
    <hyperlink r:id="rId421" ref="F427"/>
    <hyperlink r:id="rId422" ref="F428"/>
    <hyperlink r:id="rId423" ref="F429"/>
    <hyperlink r:id="rId424" ref="F430"/>
    <hyperlink r:id="rId425" ref="F431"/>
    <hyperlink r:id="rId426" ref="F432"/>
    <hyperlink r:id="rId427" ref="F433"/>
    <hyperlink r:id="rId428" ref="F434"/>
    <hyperlink r:id="rId429" ref="F435"/>
    <hyperlink r:id="rId430" ref="F436"/>
    <hyperlink r:id="rId431" ref="F437"/>
    <hyperlink r:id="rId432" ref="F438"/>
    <hyperlink r:id="rId433" ref="F439"/>
    <hyperlink r:id="rId434" ref="F440"/>
    <hyperlink r:id="rId435" ref="F441"/>
    <hyperlink r:id="rId436" ref="F442"/>
    <hyperlink r:id="rId437" ref="F443"/>
    <hyperlink r:id="rId438" ref="F444"/>
    <hyperlink r:id="rId439" ref="F445"/>
    <hyperlink r:id="rId440" ref="F446"/>
    <hyperlink r:id="rId441" ref="F447"/>
    <hyperlink r:id="rId442" ref="F448"/>
    <hyperlink r:id="rId443" ref="F449"/>
    <hyperlink r:id="rId444" ref="F450"/>
    <hyperlink r:id="rId445" ref="F451"/>
    <hyperlink r:id="rId446" ref="F452"/>
    <hyperlink r:id="rId447" ref="F453"/>
    <hyperlink r:id="rId448" ref="F454"/>
    <hyperlink r:id="rId449" ref="F455"/>
    <hyperlink r:id="rId450" ref="F456"/>
    <hyperlink r:id="rId451" ref="F457"/>
    <hyperlink r:id="rId452" ref="F458"/>
    <hyperlink r:id="rId453" ref="F459"/>
    <hyperlink r:id="rId454" ref="F460"/>
    <hyperlink r:id="rId455" ref="F461"/>
    <hyperlink r:id="rId456" ref="F462"/>
    <hyperlink r:id="rId457" ref="F463"/>
    <hyperlink r:id="rId458" ref="F464"/>
    <hyperlink r:id="rId459" ref="F465"/>
    <hyperlink r:id="rId460" ref="F466"/>
    <hyperlink r:id="rId461" ref="F467"/>
    <hyperlink r:id="rId462" ref="F468"/>
    <hyperlink r:id="rId463" ref="F469"/>
    <hyperlink r:id="rId464" ref="F470"/>
    <hyperlink r:id="rId465" ref="F471"/>
    <hyperlink r:id="rId466" ref="F472"/>
    <hyperlink r:id="rId467" ref="F473"/>
    <hyperlink r:id="rId468" ref="F474"/>
    <hyperlink r:id="rId469" ref="F475"/>
    <hyperlink r:id="rId470" ref="F476"/>
    <hyperlink r:id="rId471" ref="F477"/>
    <hyperlink r:id="rId472" ref="F478"/>
    <hyperlink r:id="rId473" ref="F479"/>
    <hyperlink r:id="rId474" ref="F480"/>
    <hyperlink r:id="rId475" ref="F481"/>
    <hyperlink r:id="rId476" ref="F482"/>
    <hyperlink r:id="rId477" ref="F483"/>
    <hyperlink r:id="rId478" ref="F484"/>
    <hyperlink r:id="rId479" ref="F485"/>
    <hyperlink r:id="rId480" ref="F486"/>
    <hyperlink r:id="rId481" ref="F487"/>
    <hyperlink r:id="rId482" ref="F488"/>
    <hyperlink r:id="rId483" ref="F489"/>
    <hyperlink r:id="rId484" ref="F490"/>
    <hyperlink r:id="rId485" ref="F491"/>
    <hyperlink r:id="rId486" ref="F492"/>
    <hyperlink r:id="rId487" ref="F493"/>
    <hyperlink r:id="rId488" ref="F494"/>
    <hyperlink r:id="rId489" ref="F495"/>
    <hyperlink r:id="rId490" ref="F496"/>
    <hyperlink r:id="rId491" ref="F497"/>
    <hyperlink r:id="rId492" ref="F498"/>
    <hyperlink r:id="rId493" ref="F499"/>
    <hyperlink r:id="rId494" ref="F500"/>
    <hyperlink r:id="rId495" ref="F501"/>
    <hyperlink r:id="rId496" ref="F502"/>
    <hyperlink r:id="rId497" ref="F503"/>
    <hyperlink r:id="rId498" ref="F505"/>
    <hyperlink r:id="rId499" ref="F506"/>
    <hyperlink r:id="rId500" ref="F507"/>
    <hyperlink r:id="rId501" ref="F508"/>
    <hyperlink r:id="rId502" ref="F509"/>
    <hyperlink r:id="rId503" ref="F510"/>
    <hyperlink r:id="rId504" ref="F511"/>
    <hyperlink r:id="rId505" ref="F512"/>
    <hyperlink r:id="rId506" ref="F513"/>
    <hyperlink r:id="rId507" ref="F514"/>
    <hyperlink r:id="rId508" ref="F515"/>
    <hyperlink r:id="rId509" ref="F516"/>
    <hyperlink r:id="rId510" ref="F517"/>
    <hyperlink r:id="rId511" ref="F518"/>
    <hyperlink r:id="rId512" ref="F519"/>
    <hyperlink r:id="rId513" ref="F520"/>
    <hyperlink r:id="rId514" ref="F521"/>
    <hyperlink r:id="rId515" ref="F522"/>
    <hyperlink r:id="rId516" ref="F523"/>
    <hyperlink r:id="rId517" ref="F524"/>
    <hyperlink r:id="rId518" ref="F525"/>
    <hyperlink r:id="rId519" ref="F526"/>
    <hyperlink r:id="rId520" ref="F527"/>
    <hyperlink r:id="rId521" ref="F528"/>
    <hyperlink r:id="rId522" ref="F529"/>
    <hyperlink r:id="rId523" ref="F530"/>
    <hyperlink r:id="rId524" ref="F531"/>
    <hyperlink r:id="rId525" ref="F532"/>
    <hyperlink r:id="rId526" ref="F533"/>
    <hyperlink r:id="rId527" ref="F534"/>
    <hyperlink r:id="rId528" ref="F535"/>
    <hyperlink r:id="rId529" ref="F536"/>
    <hyperlink r:id="rId530" ref="F537"/>
    <hyperlink r:id="rId531" ref="F538"/>
    <hyperlink r:id="rId532" ref="F539"/>
    <hyperlink r:id="rId533" ref="F540"/>
    <hyperlink r:id="rId534" ref="F541"/>
    <hyperlink r:id="rId535" ref="F542"/>
    <hyperlink r:id="rId536" ref="F543"/>
    <hyperlink r:id="rId537" ref="F544"/>
    <hyperlink r:id="rId538" ref="F545"/>
    <hyperlink r:id="rId539" ref="F546"/>
    <hyperlink r:id="rId540" ref="F547"/>
    <hyperlink r:id="rId541" ref="F548"/>
    <hyperlink r:id="rId542" ref="F549"/>
    <hyperlink r:id="rId543" ref="F550"/>
    <hyperlink r:id="rId544" ref="F551"/>
    <hyperlink r:id="rId545" ref="F552"/>
    <hyperlink r:id="rId546" ref="F553"/>
    <hyperlink r:id="rId547" ref="F554"/>
    <hyperlink r:id="rId548" ref="F555"/>
    <hyperlink r:id="rId549" ref="F556"/>
    <hyperlink r:id="rId550" ref="F557"/>
    <hyperlink r:id="rId551" ref="F558"/>
    <hyperlink r:id="rId552" ref="F559"/>
    <hyperlink r:id="rId553" ref="F560"/>
    <hyperlink r:id="rId554" ref="F561"/>
    <hyperlink r:id="rId555" ref="F562"/>
    <hyperlink r:id="rId556" ref="F563"/>
    <hyperlink r:id="rId557" ref="F564"/>
    <hyperlink r:id="rId558" ref="F565"/>
    <hyperlink r:id="rId559" ref="F566"/>
    <hyperlink r:id="rId560" ref="F567"/>
    <hyperlink r:id="rId561" ref="F568"/>
    <hyperlink r:id="rId562" ref="F569"/>
    <hyperlink r:id="rId563" ref="F570"/>
    <hyperlink r:id="rId564" ref="F571"/>
    <hyperlink r:id="rId565" ref="F572"/>
    <hyperlink r:id="rId566" ref="F573"/>
    <hyperlink r:id="rId567" ref="F574"/>
    <hyperlink r:id="rId568" ref="F575"/>
    <hyperlink r:id="rId569" ref="F576"/>
    <hyperlink r:id="rId570" ref="F577"/>
    <hyperlink r:id="rId571" ref="F578"/>
    <hyperlink r:id="rId572" ref="F579"/>
    <hyperlink r:id="rId573" ref="F580"/>
    <hyperlink r:id="rId574" ref="F581"/>
    <hyperlink r:id="rId575" ref="F582"/>
    <hyperlink r:id="rId576" ref="F583"/>
    <hyperlink r:id="rId577" ref="F584"/>
    <hyperlink r:id="rId578" ref="F585"/>
    <hyperlink r:id="rId579" ref="F586"/>
    <hyperlink r:id="rId580" ref="F587"/>
    <hyperlink r:id="rId581" ref="F588"/>
    <hyperlink r:id="rId582" ref="F589"/>
    <hyperlink r:id="rId583" ref="F590"/>
    <hyperlink r:id="rId584" ref="F591"/>
    <hyperlink r:id="rId585" ref="F592"/>
    <hyperlink r:id="rId586" ref="F593"/>
    <hyperlink r:id="rId587" ref="F594"/>
    <hyperlink r:id="rId588" ref="F595"/>
    <hyperlink r:id="rId589" ref="F596"/>
    <hyperlink r:id="rId590" ref="F597"/>
    <hyperlink r:id="rId591" ref="F598"/>
    <hyperlink r:id="rId592" ref="F599"/>
    <hyperlink r:id="rId593" ref="F600"/>
    <hyperlink r:id="rId594" ref="F601"/>
    <hyperlink r:id="rId595" ref="F602"/>
    <hyperlink r:id="rId596" ref="B604"/>
    <hyperlink r:id="rId597" ref="E604"/>
    <hyperlink r:id="rId598" ref="F605"/>
    <hyperlink r:id="rId599" ref="F606"/>
    <hyperlink r:id="rId600" ref="F607"/>
    <hyperlink r:id="rId601" ref="F608"/>
    <hyperlink r:id="rId602" ref="F609"/>
    <hyperlink r:id="rId603" ref="F610"/>
    <hyperlink r:id="rId604" ref="F611"/>
    <hyperlink r:id="rId605" ref="F612"/>
    <hyperlink r:id="rId606" ref="F613"/>
    <hyperlink r:id="rId607" ref="F614"/>
    <hyperlink r:id="rId608" ref="F615"/>
    <hyperlink r:id="rId609" ref="F616"/>
    <hyperlink r:id="rId610" ref="F617"/>
    <hyperlink r:id="rId611" ref="F618"/>
    <hyperlink r:id="rId612" ref="F619"/>
    <hyperlink r:id="rId613" ref="F620"/>
    <hyperlink r:id="rId614" ref="F621"/>
    <hyperlink r:id="rId615" ref="F622"/>
    <hyperlink r:id="rId616" ref="F623"/>
    <hyperlink r:id="rId617" ref="F624"/>
    <hyperlink r:id="rId618" ref="F625"/>
    <hyperlink r:id="rId619" ref="F626"/>
    <hyperlink r:id="rId620" ref="F627"/>
    <hyperlink r:id="rId621" ref="F628"/>
    <hyperlink r:id="rId622" ref="F629"/>
    <hyperlink r:id="rId623" ref="F630"/>
    <hyperlink r:id="rId624" ref="F631"/>
    <hyperlink r:id="rId625" ref="F632"/>
    <hyperlink r:id="rId626" ref="F633"/>
    <hyperlink r:id="rId627" ref="F634"/>
    <hyperlink r:id="rId628" ref="F635"/>
    <hyperlink r:id="rId629" ref="F636"/>
    <hyperlink r:id="rId630" ref="F637"/>
    <hyperlink r:id="rId631" ref="F638"/>
    <hyperlink r:id="rId632" ref="F639"/>
    <hyperlink r:id="rId633" ref="F640"/>
    <hyperlink r:id="rId634" ref="F641"/>
    <hyperlink r:id="rId635" ref="F642"/>
    <hyperlink r:id="rId636" ref="F643"/>
    <hyperlink r:id="rId637" ref="F644"/>
    <hyperlink r:id="rId638" ref="F645"/>
    <hyperlink r:id="rId639" ref="F646"/>
    <hyperlink r:id="rId640" ref="F647"/>
    <hyperlink r:id="rId641" ref="F648"/>
    <hyperlink r:id="rId642" ref="F649"/>
    <hyperlink r:id="rId643" ref="F650"/>
    <hyperlink r:id="rId644" ref="F651"/>
    <hyperlink r:id="rId645" ref="F652"/>
    <hyperlink r:id="rId646" ref="F653"/>
    <hyperlink r:id="rId647" ref="F654"/>
    <hyperlink r:id="rId648" ref="F655"/>
    <hyperlink r:id="rId649" ref="F656"/>
    <hyperlink r:id="rId650" ref="F657"/>
    <hyperlink r:id="rId651" ref="F658"/>
    <hyperlink r:id="rId652" ref="F659"/>
    <hyperlink r:id="rId653" ref="F660"/>
    <hyperlink r:id="rId654" ref="F661"/>
    <hyperlink r:id="rId655" ref="F662"/>
    <hyperlink r:id="rId656" ref="F663"/>
    <hyperlink r:id="rId657" ref="F664"/>
    <hyperlink r:id="rId658" ref="F665"/>
    <hyperlink r:id="rId659" ref="F666"/>
    <hyperlink r:id="rId660" ref="F667"/>
    <hyperlink r:id="rId661" ref="F668"/>
    <hyperlink r:id="rId662" ref="F669"/>
    <hyperlink r:id="rId663" ref="F670"/>
    <hyperlink r:id="rId664" ref="F671"/>
    <hyperlink r:id="rId665" ref="F672"/>
    <hyperlink r:id="rId666" ref="F673"/>
    <hyperlink r:id="rId667" ref="F674"/>
    <hyperlink r:id="rId668" ref="F675"/>
    <hyperlink r:id="rId669" ref="F676"/>
    <hyperlink r:id="rId670" ref="F677"/>
    <hyperlink r:id="rId671" ref="F678"/>
    <hyperlink r:id="rId672" ref="F679"/>
    <hyperlink r:id="rId673" ref="F680"/>
    <hyperlink r:id="rId674" ref="F681"/>
    <hyperlink r:id="rId675" ref="F682"/>
    <hyperlink r:id="rId676" ref="F683"/>
    <hyperlink r:id="rId677" ref="F684"/>
    <hyperlink r:id="rId678" ref="F685"/>
    <hyperlink r:id="rId679" ref="F686"/>
    <hyperlink r:id="rId680" ref="F687"/>
    <hyperlink r:id="rId681" ref="F688"/>
    <hyperlink r:id="rId682" ref="F689"/>
    <hyperlink r:id="rId683" ref="F690"/>
    <hyperlink r:id="rId684" ref="F691"/>
    <hyperlink r:id="rId685" ref="F692"/>
    <hyperlink r:id="rId686" ref="F693"/>
    <hyperlink r:id="rId687" ref="F694"/>
    <hyperlink r:id="rId688" ref="F695"/>
    <hyperlink r:id="rId689" ref="F696"/>
    <hyperlink r:id="rId690" ref="F697"/>
    <hyperlink r:id="rId691" ref="F698"/>
    <hyperlink r:id="rId692" ref="F699"/>
    <hyperlink r:id="rId693" ref="F700"/>
    <hyperlink r:id="rId694" ref="F701"/>
    <hyperlink r:id="rId695" ref="F702"/>
    <hyperlink r:id="rId696" ref="F703"/>
    <hyperlink r:id="rId697" ref="F704"/>
    <hyperlink r:id="rId698" ref="F705"/>
    <hyperlink r:id="rId699" ref="F706"/>
    <hyperlink r:id="rId700" ref="F707"/>
    <hyperlink r:id="rId701" ref="F708"/>
    <hyperlink r:id="rId702" ref="F709"/>
    <hyperlink r:id="rId703" ref="F710"/>
    <hyperlink r:id="rId704" ref="F711"/>
    <hyperlink r:id="rId705" ref="F712"/>
    <hyperlink r:id="rId706" ref="F713"/>
    <hyperlink r:id="rId707" ref="F714"/>
    <hyperlink r:id="rId708" ref="F715"/>
    <hyperlink r:id="rId709" ref="F716"/>
    <hyperlink r:id="rId710" ref="F717"/>
    <hyperlink r:id="rId711" ref="F718"/>
    <hyperlink r:id="rId712" ref="F719"/>
    <hyperlink r:id="rId713" ref="F720"/>
    <hyperlink r:id="rId714" ref="F721"/>
    <hyperlink r:id="rId715" ref="F722"/>
    <hyperlink r:id="rId716" ref="F723"/>
    <hyperlink r:id="rId717" ref="F724"/>
    <hyperlink r:id="rId718" ref="F725"/>
    <hyperlink r:id="rId719" ref="F726"/>
    <hyperlink r:id="rId720" ref="F727"/>
    <hyperlink r:id="rId721" ref="F728"/>
    <hyperlink r:id="rId722" ref="F729"/>
    <hyperlink r:id="rId723" ref="F730"/>
    <hyperlink r:id="rId724" ref="F731"/>
    <hyperlink r:id="rId725" ref="F732"/>
    <hyperlink r:id="rId726" ref="F733"/>
    <hyperlink r:id="rId727" ref="F734"/>
    <hyperlink r:id="rId728" ref="F735"/>
    <hyperlink r:id="rId729" ref="F736"/>
    <hyperlink r:id="rId730" ref="F737"/>
    <hyperlink r:id="rId731" ref="F738"/>
    <hyperlink r:id="rId732" ref="F739"/>
    <hyperlink r:id="rId733" ref="F740"/>
    <hyperlink r:id="rId734" ref="F741"/>
    <hyperlink r:id="rId735" ref="F742"/>
    <hyperlink r:id="rId736" ref="F743"/>
    <hyperlink r:id="rId737" ref="F744"/>
    <hyperlink r:id="rId738" ref="F745"/>
    <hyperlink r:id="rId739" ref="F746"/>
    <hyperlink r:id="rId740" ref="F747"/>
    <hyperlink r:id="rId741" ref="F748"/>
    <hyperlink r:id="rId742" ref="F749"/>
    <hyperlink r:id="rId743" ref="F750"/>
    <hyperlink r:id="rId744" ref="F751"/>
    <hyperlink r:id="rId745" ref="F752"/>
    <hyperlink r:id="rId746" ref="F753"/>
    <hyperlink r:id="rId747" ref="F754"/>
    <hyperlink r:id="rId748" ref="F755"/>
    <hyperlink r:id="rId749" ref="F756"/>
    <hyperlink r:id="rId750" ref="F757"/>
    <hyperlink r:id="rId751" ref="F758"/>
    <hyperlink r:id="rId752" ref="F759"/>
    <hyperlink r:id="rId753" ref="F760"/>
    <hyperlink r:id="rId754" ref="F761"/>
    <hyperlink r:id="rId755" ref="F762"/>
    <hyperlink r:id="rId756" ref="F763"/>
    <hyperlink r:id="rId757" ref="F764"/>
    <hyperlink r:id="rId758" ref="F765"/>
    <hyperlink r:id="rId759" ref="F766"/>
    <hyperlink r:id="rId760" ref="F767"/>
    <hyperlink r:id="rId761" ref="F768"/>
    <hyperlink r:id="rId762" ref="F769"/>
    <hyperlink r:id="rId763" ref="F770"/>
    <hyperlink r:id="rId764" ref="F771"/>
    <hyperlink r:id="rId765" ref="F772"/>
    <hyperlink r:id="rId766" ref="F773"/>
    <hyperlink r:id="rId767" ref="F774"/>
    <hyperlink r:id="rId768" ref="F775"/>
    <hyperlink r:id="rId769" ref="F776"/>
    <hyperlink r:id="rId770" ref="F777"/>
    <hyperlink r:id="rId771" ref="F778"/>
    <hyperlink r:id="rId772" ref="F779"/>
    <hyperlink r:id="rId773" ref="F780"/>
    <hyperlink r:id="rId774" ref="F781"/>
    <hyperlink r:id="rId775" ref="F782"/>
    <hyperlink r:id="rId776" ref="F783"/>
    <hyperlink r:id="rId777" ref="F784"/>
    <hyperlink r:id="rId778" ref="F785"/>
    <hyperlink r:id="rId779" ref="F786"/>
    <hyperlink r:id="rId780" ref="F787"/>
    <hyperlink r:id="rId781" ref="F788"/>
    <hyperlink r:id="rId782" ref="F789"/>
    <hyperlink r:id="rId783" ref="F791"/>
    <hyperlink r:id="rId784" ref="F792"/>
    <hyperlink r:id="rId785" ref="F793"/>
    <hyperlink r:id="rId786" ref="F795"/>
    <hyperlink r:id="rId787" ref="F796"/>
    <hyperlink r:id="rId788" ref="F797"/>
    <hyperlink r:id="rId789" ref="F798"/>
    <hyperlink r:id="rId790" ref="F799"/>
    <hyperlink r:id="rId791" ref="F800"/>
    <hyperlink r:id="rId792" ref="F801"/>
    <hyperlink r:id="rId793" ref="F802"/>
    <hyperlink r:id="rId794" ref="F803"/>
    <hyperlink r:id="rId795" ref="F804"/>
    <hyperlink r:id="rId796" ref="F805"/>
    <hyperlink r:id="rId797" ref="F806"/>
    <hyperlink r:id="rId798" ref="F807"/>
    <hyperlink r:id="rId799" ref="F808"/>
    <hyperlink r:id="rId800" ref="F809"/>
    <hyperlink r:id="rId801" ref="F810"/>
    <hyperlink r:id="rId802" ref="F811"/>
    <hyperlink r:id="rId803" ref="F812"/>
    <hyperlink r:id="rId804" ref="F813"/>
    <hyperlink r:id="rId805" ref="F814"/>
    <hyperlink r:id="rId806" ref="F815"/>
    <hyperlink r:id="rId807" ref="F816"/>
    <hyperlink r:id="rId808" ref="F817"/>
    <hyperlink r:id="rId809" ref="F818"/>
    <hyperlink r:id="rId810" ref="F819"/>
    <hyperlink r:id="rId811" ref="F820"/>
    <hyperlink r:id="rId812" ref="F821"/>
    <hyperlink r:id="rId813" ref="F822"/>
    <hyperlink r:id="rId814" ref="F823"/>
    <hyperlink r:id="rId815" ref="F824"/>
    <hyperlink r:id="rId816" ref="F825"/>
    <hyperlink r:id="rId817" ref="F826"/>
    <hyperlink r:id="rId818" ref="F827"/>
    <hyperlink r:id="rId819" ref="F828"/>
    <hyperlink r:id="rId820" ref="F829"/>
    <hyperlink r:id="rId821" ref="F830"/>
    <hyperlink r:id="rId822" ref="F831"/>
    <hyperlink r:id="rId823" ref="F832"/>
    <hyperlink r:id="rId824" ref="F833"/>
    <hyperlink r:id="rId825" ref="F834"/>
    <hyperlink r:id="rId826" ref="F835"/>
    <hyperlink r:id="rId827" ref="F836"/>
    <hyperlink r:id="rId828" ref="F837"/>
    <hyperlink r:id="rId829" ref="F838"/>
    <hyperlink r:id="rId830" ref="F839"/>
    <hyperlink r:id="rId831" ref="F840"/>
    <hyperlink r:id="rId832" ref="F841"/>
    <hyperlink r:id="rId833" ref="F842"/>
    <hyperlink r:id="rId834" ref="F843"/>
    <hyperlink r:id="rId835" ref="F844"/>
    <hyperlink r:id="rId836" ref="F845"/>
    <hyperlink r:id="rId837" ref="F846"/>
    <hyperlink r:id="rId838" ref="F847"/>
    <hyperlink r:id="rId839" ref="F848"/>
    <hyperlink r:id="rId840" ref="F849"/>
    <hyperlink r:id="rId841" ref="F850"/>
    <hyperlink r:id="rId842" ref="F851"/>
    <hyperlink r:id="rId843" ref="F852"/>
    <hyperlink r:id="rId844" ref="F853"/>
    <hyperlink r:id="rId845" ref="F854"/>
    <hyperlink r:id="rId846" ref="F855"/>
    <hyperlink r:id="rId847" ref="F856"/>
    <hyperlink r:id="rId848" ref="F857"/>
    <hyperlink r:id="rId849" ref="F858"/>
    <hyperlink r:id="rId850" ref="F859"/>
    <hyperlink r:id="rId851" ref="F860"/>
    <hyperlink r:id="rId852" ref="F861"/>
    <hyperlink r:id="rId853" ref="F862"/>
    <hyperlink r:id="rId854" ref="F863"/>
    <hyperlink r:id="rId855" ref="F864"/>
    <hyperlink r:id="rId856" ref="F865"/>
    <hyperlink r:id="rId857" ref="F866"/>
    <hyperlink r:id="rId858" ref="F867"/>
    <hyperlink r:id="rId859" ref="F868"/>
    <hyperlink r:id="rId860" ref="F869"/>
    <hyperlink r:id="rId861" ref="F870"/>
    <hyperlink r:id="rId862" ref="F871"/>
    <hyperlink r:id="rId863" ref="F873"/>
    <hyperlink r:id="rId864" ref="F874"/>
    <hyperlink r:id="rId865" ref="F875"/>
    <hyperlink r:id="rId866" ref="F876"/>
    <hyperlink r:id="rId867" ref="F877"/>
    <hyperlink r:id="rId868" ref="F878"/>
    <hyperlink r:id="rId869" ref="F879"/>
    <hyperlink r:id="rId870" ref="F880"/>
    <hyperlink r:id="rId871" ref="F881"/>
    <hyperlink r:id="rId872" ref="F882"/>
    <hyperlink r:id="rId873" ref="F883"/>
    <hyperlink r:id="rId874" ref="F884"/>
    <hyperlink r:id="rId875" ref="F885"/>
    <hyperlink r:id="rId876" ref="F886"/>
    <hyperlink r:id="rId877" ref="F887"/>
    <hyperlink r:id="rId878" ref="F888"/>
    <hyperlink r:id="rId879" ref="F889"/>
    <hyperlink r:id="rId880" ref="F890"/>
    <hyperlink r:id="rId881" ref="F891"/>
    <hyperlink r:id="rId882" ref="F892"/>
    <hyperlink r:id="rId883" ref="F893"/>
    <hyperlink r:id="rId884" ref="F895"/>
    <hyperlink r:id="rId885" ref="F896"/>
    <hyperlink r:id="rId886" ref="F897"/>
    <hyperlink r:id="rId887" ref="F898"/>
    <hyperlink r:id="rId888" ref="F899"/>
    <hyperlink r:id="rId889" ref="F900"/>
    <hyperlink r:id="rId890" ref="F901"/>
    <hyperlink r:id="rId891" ref="F902"/>
    <hyperlink r:id="rId892" ref="F903"/>
    <hyperlink r:id="rId893" ref="F908"/>
    <hyperlink r:id="rId894" ref="F909"/>
    <hyperlink r:id="rId895" ref="F910"/>
    <hyperlink r:id="rId896" ref="F911"/>
    <hyperlink r:id="rId897" ref="F912"/>
    <hyperlink r:id="rId898" ref="F913"/>
    <hyperlink r:id="rId899" ref="F914"/>
    <hyperlink r:id="rId900" ref="F915"/>
    <hyperlink r:id="rId901" ref="F916"/>
    <hyperlink r:id="rId902" ref="F917"/>
    <hyperlink r:id="rId903" ref="F918"/>
    <hyperlink r:id="rId904" ref="F919"/>
    <hyperlink r:id="rId905" ref="F920"/>
    <hyperlink r:id="rId906" ref="F921"/>
    <hyperlink r:id="rId907" ref="F922"/>
    <hyperlink r:id="rId908" ref="F923"/>
    <hyperlink r:id="rId909" ref="F924"/>
    <hyperlink r:id="rId910" ref="F925"/>
    <hyperlink r:id="rId911" ref="F926"/>
    <hyperlink r:id="rId912" ref="F927"/>
    <hyperlink r:id="rId913" ref="F928"/>
    <hyperlink r:id="rId914" ref="F929"/>
    <hyperlink r:id="rId915" ref="F930"/>
    <hyperlink r:id="rId916" ref="F931"/>
    <hyperlink r:id="rId917" ref="F932"/>
    <hyperlink r:id="rId918" ref="F933"/>
    <hyperlink r:id="rId919" ref="F934"/>
    <hyperlink r:id="rId920" ref="F935"/>
    <hyperlink r:id="rId921" ref="F936"/>
    <hyperlink r:id="rId922" ref="F937"/>
    <hyperlink r:id="rId923" ref="F938"/>
    <hyperlink r:id="rId924" ref="F939"/>
    <hyperlink r:id="rId925" ref="F940"/>
    <hyperlink r:id="rId926" ref="F941"/>
    <hyperlink r:id="rId927" ref="F942"/>
    <hyperlink r:id="rId928" ref="F943"/>
    <hyperlink r:id="rId929" ref="F944"/>
    <hyperlink r:id="rId930" ref="F945"/>
    <hyperlink r:id="rId931" ref="F946"/>
    <hyperlink r:id="rId932" ref="F947"/>
    <hyperlink r:id="rId933" ref="F948"/>
    <hyperlink r:id="rId934" ref="F949"/>
    <hyperlink r:id="rId935" ref="F950"/>
    <hyperlink r:id="rId936" ref="F951"/>
    <hyperlink r:id="rId937" ref="F952"/>
    <hyperlink r:id="rId938" ref="F953"/>
    <hyperlink r:id="rId939" ref="F954"/>
    <hyperlink r:id="rId940" ref="F955"/>
    <hyperlink r:id="rId941" ref="F956"/>
    <hyperlink r:id="rId942" ref="F957"/>
    <hyperlink r:id="rId943" ref="F958"/>
    <hyperlink r:id="rId944" ref="F959"/>
    <hyperlink r:id="rId945" ref="F960"/>
    <hyperlink r:id="rId946" ref="F961"/>
    <hyperlink r:id="rId947" ref="F962"/>
    <hyperlink r:id="rId948" ref="F963"/>
    <hyperlink r:id="rId949" ref="F964"/>
    <hyperlink r:id="rId950" ref="F965"/>
    <hyperlink r:id="rId951" ref="F966"/>
    <hyperlink r:id="rId952" ref="F967"/>
    <hyperlink r:id="rId953" ref="F968"/>
    <hyperlink r:id="rId954" ref="F969"/>
    <hyperlink r:id="rId955" ref="F970"/>
    <hyperlink r:id="rId956" ref="F971"/>
    <hyperlink r:id="rId957" ref="F972"/>
    <hyperlink r:id="rId958" ref="F973"/>
    <hyperlink r:id="rId959" ref="F974"/>
    <hyperlink r:id="rId960" ref="F975"/>
    <hyperlink r:id="rId961" ref="F976"/>
    <hyperlink r:id="rId962" ref="F977"/>
    <hyperlink r:id="rId963" ref="F978"/>
    <hyperlink r:id="rId964" ref="F979"/>
    <hyperlink r:id="rId965" ref="F980"/>
    <hyperlink r:id="rId966" ref="F981"/>
    <hyperlink r:id="rId967" ref="F982"/>
    <hyperlink r:id="rId968" ref="F983"/>
    <hyperlink r:id="rId969" ref="F984"/>
    <hyperlink r:id="rId970" ref="F986"/>
    <hyperlink r:id="rId971" ref="F987"/>
    <hyperlink r:id="rId972" ref="F988"/>
    <hyperlink r:id="rId973" ref="F989"/>
    <hyperlink r:id="rId974" ref="F990"/>
    <hyperlink r:id="rId975" ref="F991"/>
    <hyperlink r:id="rId976" ref="F992"/>
    <hyperlink r:id="rId977" ref="F993"/>
    <hyperlink r:id="rId978" ref="F994"/>
    <hyperlink r:id="rId979" ref="F995"/>
    <hyperlink r:id="rId980" ref="F996"/>
    <hyperlink r:id="rId981" ref="F997"/>
    <hyperlink r:id="rId982" ref="F998"/>
    <hyperlink r:id="rId983" ref="F999"/>
    <hyperlink r:id="rId984" ref="F1000"/>
    <hyperlink r:id="rId985" ref="F1001"/>
    <hyperlink r:id="rId986" ref="F1002"/>
    <hyperlink r:id="rId987" ref="F1003"/>
    <hyperlink r:id="rId988" ref="F1004"/>
    <hyperlink r:id="rId989" ref="F1005"/>
    <hyperlink r:id="rId990" ref="F1006"/>
    <hyperlink r:id="rId991" ref="F1007"/>
    <hyperlink r:id="rId992" ref="F1008"/>
    <hyperlink r:id="rId993" ref="F1009"/>
    <hyperlink r:id="rId994" ref="F1010"/>
    <hyperlink r:id="rId995" ref="F1011"/>
    <hyperlink r:id="rId996" ref="F1012"/>
    <hyperlink r:id="rId997" ref="F1013"/>
    <hyperlink r:id="rId998" ref="F1014"/>
    <hyperlink r:id="rId999" ref="F1015"/>
    <hyperlink r:id="rId1000" ref="F1016"/>
    <hyperlink r:id="rId1001" ref="F1017"/>
    <hyperlink r:id="rId1002" ref="F1018"/>
    <hyperlink r:id="rId1003" ref="F1019"/>
    <hyperlink r:id="rId1004" ref="F1020"/>
    <hyperlink r:id="rId1005" ref="F1021"/>
    <hyperlink r:id="rId1006" ref="F1022"/>
    <hyperlink r:id="rId1007" ref="F1023"/>
    <hyperlink r:id="rId1008" ref="F1024"/>
    <hyperlink r:id="rId1009" ref="F1025"/>
    <hyperlink r:id="rId1010" ref="F1026"/>
    <hyperlink r:id="rId1011" ref="F1027"/>
    <hyperlink r:id="rId1012" ref="F1028"/>
    <hyperlink r:id="rId1013" ref="F1029"/>
    <hyperlink r:id="rId1014" ref="F1030"/>
    <hyperlink r:id="rId1015" ref="F1031"/>
    <hyperlink r:id="rId1016" ref="F1032"/>
    <hyperlink r:id="rId1017" ref="F1033"/>
    <hyperlink r:id="rId1018" ref="F1034"/>
    <hyperlink r:id="rId1019" ref="F1035"/>
    <hyperlink r:id="rId1020" ref="F1036"/>
    <hyperlink r:id="rId1021" ref="F1037"/>
    <hyperlink r:id="rId1022" ref="F1038"/>
    <hyperlink r:id="rId1023" ref="F1039"/>
    <hyperlink r:id="rId1024" ref="F1040"/>
    <hyperlink r:id="rId1025" ref="F1041"/>
    <hyperlink r:id="rId1026" ref="F1042"/>
    <hyperlink r:id="rId1027" ref="F1043"/>
    <hyperlink r:id="rId1028" ref="F1044"/>
    <hyperlink r:id="rId1029" ref="F1045"/>
    <hyperlink r:id="rId1030" ref="F1046"/>
    <hyperlink r:id="rId1031" ref="F1047"/>
    <hyperlink r:id="rId1032" ref="F1048"/>
    <hyperlink r:id="rId1033" ref="F1049"/>
    <hyperlink r:id="rId1034" ref="F1050"/>
    <hyperlink r:id="rId1035" ref="F1051"/>
    <hyperlink r:id="rId1036" ref="F1052"/>
    <hyperlink r:id="rId1037" ref="F1053"/>
    <hyperlink r:id="rId1038" ref="F1054"/>
    <hyperlink r:id="rId1039" ref="F1055"/>
    <hyperlink r:id="rId1040" ref="F1056"/>
    <hyperlink r:id="rId1041" ref="F1057"/>
    <hyperlink r:id="rId1042" ref="F1058"/>
    <hyperlink r:id="rId1043" ref="F1059"/>
    <hyperlink r:id="rId1044" ref="F1060"/>
    <hyperlink r:id="rId1045" ref="F1061"/>
    <hyperlink r:id="rId1046" ref="F1062"/>
    <hyperlink r:id="rId1047" ref="F1063"/>
    <hyperlink r:id="rId1048" ref="F1064"/>
    <hyperlink r:id="rId1049" ref="F1065"/>
    <hyperlink r:id="rId1050" ref="F1066"/>
    <hyperlink r:id="rId1051" ref="F1067"/>
    <hyperlink r:id="rId1052" ref="F1068"/>
    <hyperlink r:id="rId1053" ref="F1069"/>
    <hyperlink r:id="rId1054" ref="F1070"/>
    <hyperlink r:id="rId1055" ref="F1071"/>
    <hyperlink r:id="rId1056" ref="F1072"/>
    <hyperlink r:id="rId1057" ref="F1073"/>
    <hyperlink r:id="rId1058" ref="F1074"/>
    <hyperlink r:id="rId1059" ref="F1075"/>
    <hyperlink r:id="rId1060" ref="F1076"/>
    <hyperlink r:id="rId1061" ref="F1077"/>
    <hyperlink r:id="rId1062" ref="F1078"/>
    <hyperlink r:id="rId1063" ref="F1079"/>
    <hyperlink r:id="rId1064" ref="F1080"/>
    <hyperlink r:id="rId1065" ref="F1081"/>
    <hyperlink r:id="rId1066" ref="F1082"/>
    <hyperlink r:id="rId1067" ref="F1083"/>
    <hyperlink r:id="rId1068" ref="F1084"/>
    <hyperlink r:id="rId1069" ref="F1085"/>
    <hyperlink r:id="rId1070" ref="F1086"/>
    <hyperlink r:id="rId1071" ref="F1087"/>
    <hyperlink r:id="rId1072" ref="F1088"/>
    <hyperlink r:id="rId1073" ref="F1089"/>
    <hyperlink r:id="rId1074" ref="F1090"/>
    <hyperlink r:id="rId1075" ref="F1091"/>
    <hyperlink r:id="rId1076" ref="F1092"/>
    <hyperlink r:id="rId1077" ref="F1093"/>
    <hyperlink r:id="rId1078" ref="F1094"/>
    <hyperlink r:id="rId1079" ref="F1095"/>
    <hyperlink r:id="rId1080" ref="F1096"/>
    <hyperlink r:id="rId1081" ref="F1097"/>
    <hyperlink r:id="rId1082" ref="F1098"/>
    <hyperlink r:id="rId1083" ref="F1099"/>
    <hyperlink r:id="rId1084" ref="F1100"/>
    <hyperlink r:id="rId1085" ref="F1101"/>
    <hyperlink r:id="rId1086" ref="F1102"/>
    <hyperlink r:id="rId1087" ref="F1103"/>
    <hyperlink r:id="rId1088" ref="F1104"/>
    <hyperlink r:id="rId1089" ref="F1105"/>
    <hyperlink r:id="rId1090" ref="F1106"/>
    <hyperlink r:id="rId1091" ref="F1107"/>
    <hyperlink r:id="rId1092" ref="F1108"/>
    <hyperlink r:id="rId1093" ref="F1109"/>
    <hyperlink r:id="rId1094" ref="F1110"/>
    <hyperlink r:id="rId1095" ref="F1111"/>
    <hyperlink r:id="rId1096" ref="F1112"/>
    <hyperlink r:id="rId1097" ref="F1113"/>
    <hyperlink r:id="rId1098" ref="F1114"/>
    <hyperlink r:id="rId1099" ref="F1115"/>
    <hyperlink r:id="rId1100" ref="F1116"/>
    <hyperlink r:id="rId1101" ref="F1117"/>
    <hyperlink r:id="rId1102" ref="F1118"/>
    <hyperlink r:id="rId1103" ref="F1119"/>
    <hyperlink r:id="rId1104" ref="F1120"/>
    <hyperlink r:id="rId1105" ref="F1121"/>
    <hyperlink r:id="rId1106" ref="F1122"/>
    <hyperlink r:id="rId1107" ref="F1123"/>
    <hyperlink r:id="rId1108" ref="F1124"/>
    <hyperlink r:id="rId1109" ref="F1125"/>
    <hyperlink r:id="rId1110" ref="F1126"/>
    <hyperlink r:id="rId1111" ref="F1127"/>
    <hyperlink r:id="rId1112" ref="F1128"/>
    <hyperlink r:id="rId1113" ref="F1129"/>
    <hyperlink r:id="rId1114" ref="F1130"/>
    <hyperlink r:id="rId1115" ref="F1131"/>
    <hyperlink r:id="rId1116" ref="F1132"/>
    <hyperlink r:id="rId1117" ref="F1133"/>
    <hyperlink r:id="rId1118" ref="F1134"/>
    <hyperlink r:id="rId1119" ref="F1135"/>
    <hyperlink r:id="rId1120" ref="F1136"/>
    <hyperlink r:id="rId1121" ref="F1138"/>
    <hyperlink r:id="rId1122" ref="F1139"/>
    <hyperlink r:id="rId1123" ref="F1140"/>
    <hyperlink r:id="rId1124" ref="F1141"/>
    <hyperlink r:id="rId1125" ref="F1142"/>
    <hyperlink r:id="rId1126" ref="F1143"/>
    <hyperlink r:id="rId1127" ref="F1144"/>
    <hyperlink r:id="rId1128" ref="F1145"/>
    <hyperlink r:id="rId1129" ref="F1146"/>
    <hyperlink r:id="rId1130" ref="F1147"/>
    <hyperlink r:id="rId1131" ref="F1148"/>
    <hyperlink r:id="rId1132" ref="F1149"/>
    <hyperlink r:id="rId1133" ref="F1150"/>
    <hyperlink r:id="rId1134" ref="F1151"/>
    <hyperlink r:id="rId1135" ref="F1152"/>
    <hyperlink r:id="rId1136" ref="F1153"/>
    <hyperlink r:id="rId1137" ref="F1154"/>
    <hyperlink r:id="rId1138" ref="F1155"/>
    <hyperlink r:id="rId1139" ref="F1156"/>
    <hyperlink r:id="rId1140" ref="F1157"/>
    <hyperlink r:id="rId1141" ref="F1158"/>
    <hyperlink r:id="rId1142" ref="F1159"/>
    <hyperlink r:id="rId1143" ref="F1160"/>
    <hyperlink r:id="rId1144" ref="F1161"/>
    <hyperlink r:id="rId1145" ref="F1162"/>
    <hyperlink r:id="rId1146" ref="F1163"/>
    <hyperlink r:id="rId1147" ref="F1164"/>
    <hyperlink r:id="rId1148" ref="F1165"/>
    <hyperlink r:id="rId1149" ref="F1166"/>
    <hyperlink r:id="rId1150" ref="F1167"/>
    <hyperlink r:id="rId1151" ref="F1168"/>
    <hyperlink r:id="rId1152" ref="F1169"/>
    <hyperlink r:id="rId1153" ref="F1170"/>
    <hyperlink r:id="rId1154" ref="F1171"/>
    <hyperlink r:id="rId1155" ref="F1172"/>
    <hyperlink r:id="rId1156" ref="F1173"/>
    <hyperlink r:id="rId1157" ref="F1174"/>
    <hyperlink r:id="rId1158" ref="F1175"/>
    <hyperlink r:id="rId1159" ref="F1176"/>
    <hyperlink r:id="rId1160" ref="F1177"/>
    <hyperlink r:id="rId1161" ref="F1178"/>
    <hyperlink r:id="rId1162" ref="F1179"/>
    <hyperlink r:id="rId1163" ref="F1180"/>
    <hyperlink r:id="rId1164" ref="F1181"/>
    <hyperlink r:id="rId1165" ref="F1182"/>
    <hyperlink r:id="rId1166" ref="F1183"/>
    <hyperlink r:id="rId1167" ref="F1185"/>
    <hyperlink r:id="rId1168" ref="F1186"/>
    <hyperlink r:id="rId1169" ref="F1187"/>
    <hyperlink r:id="rId1170" ref="F1188"/>
    <hyperlink r:id="rId1171" ref="F1189"/>
    <hyperlink r:id="rId1172" ref="F1190"/>
    <hyperlink r:id="rId1173" ref="F1191"/>
    <hyperlink r:id="rId1174" ref="F1192"/>
    <hyperlink r:id="rId1175" ref="F1193"/>
    <hyperlink r:id="rId1176" ref="F1194"/>
    <hyperlink r:id="rId1177" ref="F1195"/>
    <hyperlink r:id="rId1178" ref="F1196"/>
    <hyperlink r:id="rId1179" ref="F1197"/>
    <hyperlink r:id="rId1180" ref="F1198"/>
    <hyperlink r:id="rId1181" ref="F1199"/>
    <hyperlink r:id="rId1182" ref="F1200"/>
    <hyperlink r:id="rId1183" ref="F1201"/>
    <hyperlink r:id="rId1184" ref="F1202"/>
    <hyperlink r:id="rId1185" ref="F1203"/>
    <hyperlink r:id="rId1186" ref="F1204"/>
    <hyperlink r:id="rId1187" ref="F1205"/>
    <hyperlink r:id="rId1188" ref="F1206"/>
    <hyperlink r:id="rId1189" ref="F1207"/>
    <hyperlink r:id="rId1190" ref="F1208"/>
    <hyperlink r:id="rId1191" ref="F1209"/>
    <hyperlink r:id="rId1192" ref="F1210"/>
    <hyperlink r:id="rId1193" ref="F1211"/>
    <hyperlink r:id="rId1194" ref="F1212"/>
    <hyperlink r:id="rId1195" ref="F1213"/>
    <hyperlink r:id="rId1196" ref="F1214"/>
    <hyperlink r:id="rId1197" ref="F1215"/>
    <hyperlink r:id="rId1198" ref="F1216"/>
    <hyperlink r:id="rId1199" ref="F1217"/>
    <hyperlink r:id="rId1200" ref="F1218"/>
    <hyperlink r:id="rId1201" ref="F1219"/>
    <hyperlink r:id="rId1202" ref="F1220"/>
    <hyperlink r:id="rId1203" ref="F1221"/>
    <hyperlink r:id="rId1204" ref="F1222"/>
    <hyperlink r:id="rId1205" ref="F1223"/>
    <hyperlink r:id="rId1206" ref="F1224"/>
    <hyperlink r:id="rId1207" ref="F1225"/>
    <hyperlink r:id="rId1208" ref="F1226"/>
    <hyperlink r:id="rId1209" ref="F1227"/>
    <hyperlink r:id="rId1210" ref="F1228"/>
    <hyperlink r:id="rId1211" ref="F1229"/>
    <hyperlink r:id="rId1212" ref="F1230"/>
    <hyperlink r:id="rId1213" ref="F1231"/>
    <hyperlink r:id="rId1214" ref="F1232"/>
    <hyperlink r:id="rId1215" ref="F1233"/>
    <hyperlink r:id="rId1216" ref="F1234"/>
    <hyperlink r:id="rId1217" ref="F1235"/>
    <hyperlink r:id="rId1218" ref="F1236"/>
    <hyperlink r:id="rId1219" ref="F1237"/>
    <hyperlink r:id="rId1220" ref="F1238"/>
    <hyperlink r:id="rId1221" ref="F1239"/>
    <hyperlink r:id="rId1222" ref="F1240"/>
    <hyperlink r:id="rId1223" ref="F1241"/>
    <hyperlink r:id="rId1224" ref="F1242"/>
    <hyperlink r:id="rId1225" ref="F1243"/>
    <hyperlink r:id="rId1226" ref="F1244"/>
    <hyperlink r:id="rId1227" ref="F1245"/>
    <hyperlink r:id="rId1228" ref="F1246"/>
    <hyperlink r:id="rId1229" ref="F1247"/>
    <hyperlink r:id="rId1230" ref="F1248"/>
    <hyperlink r:id="rId1231" ref="F1249"/>
    <hyperlink r:id="rId1232" ref="F1250"/>
    <hyperlink r:id="rId1233" ref="F1251"/>
    <hyperlink r:id="rId1234" ref="F1252"/>
    <hyperlink r:id="rId1235" ref="F1253"/>
    <hyperlink r:id="rId1236" ref="F1254"/>
    <hyperlink r:id="rId1237" ref="F1255"/>
    <hyperlink r:id="rId1238" ref="F1256"/>
    <hyperlink r:id="rId1239" ref="F1257"/>
    <hyperlink r:id="rId1240" ref="F1258"/>
    <hyperlink r:id="rId1241" ref="F1259"/>
    <hyperlink r:id="rId1242" ref="F1260"/>
    <hyperlink r:id="rId1243" ref="F1261"/>
    <hyperlink r:id="rId1244" ref="F1262"/>
    <hyperlink r:id="rId1245" ref="F1263"/>
    <hyperlink r:id="rId1246" ref="F1264"/>
    <hyperlink r:id="rId1247" ref="F1265"/>
    <hyperlink r:id="rId1248" ref="F1266"/>
    <hyperlink r:id="rId1249" ref="F1267"/>
    <hyperlink r:id="rId1250" ref="F1268"/>
    <hyperlink r:id="rId1251" ref="F1269"/>
    <hyperlink r:id="rId1252" ref="F1270"/>
    <hyperlink r:id="rId1253" ref="F1271"/>
    <hyperlink r:id="rId1254" ref="F1272"/>
    <hyperlink r:id="rId1255" ref="F1273"/>
    <hyperlink r:id="rId1256" ref="F1274"/>
    <hyperlink r:id="rId1257" ref="F1275"/>
    <hyperlink r:id="rId1258" ref="F1276"/>
    <hyperlink r:id="rId1259" ref="F1277"/>
    <hyperlink r:id="rId1260" ref="F1278"/>
    <hyperlink r:id="rId1261" ref="F1279"/>
    <hyperlink r:id="rId1262" ref="F1280"/>
    <hyperlink r:id="rId1263" ref="F1281"/>
    <hyperlink r:id="rId1264" ref="F1282"/>
    <hyperlink r:id="rId1265" ref="F1283"/>
    <hyperlink r:id="rId1266" ref="F1284"/>
    <hyperlink r:id="rId1267" ref="F1286"/>
    <hyperlink r:id="rId1268" ref="F1287"/>
    <hyperlink r:id="rId1269" ref="F1288"/>
    <hyperlink r:id="rId1270" ref="F1289"/>
    <hyperlink r:id="rId1271" ref="F1290"/>
    <hyperlink r:id="rId1272" ref="F1291"/>
    <hyperlink r:id="rId1273" ref="F1292"/>
    <hyperlink r:id="rId1274" ref="F1293"/>
    <hyperlink r:id="rId1275" ref="F1294"/>
    <hyperlink r:id="rId1276" ref="F1295"/>
    <hyperlink r:id="rId1277" ref="F1296"/>
    <hyperlink r:id="rId1278" ref="F1297"/>
    <hyperlink r:id="rId1279" ref="F1298"/>
    <hyperlink r:id="rId1280" ref="F1299"/>
    <hyperlink r:id="rId1281" ref="F1300"/>
    <hyperlink r:id="rId1282" ref="F1301"/>
    <hyperlink r:id="rId1283" ref="F1302"/>
    <hyperlink r:id="rId1284" ref="F1303"/>
    <hyperlink r:id="rId1285" ref="F1304"/>
    <hyperlink r:id="rId1286" ref="F1305"/>
    <hyperlink r:id="rId1287" ref="F1306"/>
    <hyperlink r:id="rId1288" ref="F1307"/>
    <hyperlink r:id="rId1289" ref="F1308"/>
    <hyperlink r:id="rId1290" ref="F1309"/>
    <hyperlink r:id="rId1291" ref="F1310"/>
    <hyperlink r:id="rId1292" ref="F1312"/>
    <hyperlink r:id="rId1293" ref="F1313"/>
    <hyperlink r:id="rId1294" ref="F1314"/>
    <hyperlink r:id="rId1295" ref="F1315"/>
    <hyperlink r:id="rId1296" ref="F1316"/>
    <hyperlink r:id="rId1297" ref="F1317"/>
    <hyperlink r:id="rId1298" ref="F1318"/>
    <hyperlink r:id="rId1299" ref="F1319"/>
    <hyperlink r:id="rId1300" ref="F1320"/>
    <hyperlink r:id="rId1301" ref="F1321"/>
    <hyperlink r:id="rId1302" ref="F1322"/>
    <hyperlink r:id="rId1303" ref="F1323"/>
    <hyperlink r:id="rId1304" ref="F1324"/>
    <hyperlink r:id="rId1305" ref="F1325"/>
    <hyperlink r:id="rId1306" ref="F1326"/>
    <hyperlink r:id="rId1307" ref="F1327"/>
    <hyperlink r:id="rId1308" ref="F1328"/>
    <hyperlink r:id="rId1309" ref="F1329"/>
    <hyperlink r:id="rId1310" ref="F1330"/>
    <hyperlink r:id="rId1311" ref="F1331"/>
    <hyperlink r:id="rId1312" ref="F1332"/>
    <hyperlink r:id="rId1313" ref="F1334"/>
    <hyperlink r:id="rId1314" ref="F1335"/>
    <hyperlink r:id="rId1315" ref="F1336"/>
    <hyperlink r:id="rId1316" ref="F1337"/>
    <hyperlink r:id="rId1317" ref="F1338"/>
    <hyperlink r:id="rId1318" ref="F1339"/>
    <hyperlink r:id="rId1319" ref="F1340"/>
    <hyperlink r:id="rId1320" ref="F1341"/>
    <hyperlink r:id="rId1321" ref="F1342"/>
    <hyperlink r:id="rId1322" ref="F1343"/>
    <hyperlink r:id="rId1323" ref="F1344"/>
    <hyperlink r:id="rId1324" ref="F1345"/>
    <hyperlink r:id="rId1325" ref="F1346"/>
    <hyperlink r:id="rId1326" ref="F1347"/>
    <hyperlink r:id="rId1327" ref="F1348"/>
    <hyperlink r:id="rId1328" ref="F1349"/>
    <hyperlink r:id="rId1329" ref="F1350"/>
    <hyperlink r:id="rId1330" ref="F1351"/>
    <hyperlink r:id="rId1331" ref="F1352"/>
    <hyperlink r:id="rId1332" ref="F1353"/>
    <hyperlink r:id="rId1333" ref="F1354"/>
    <hyperlink r:id="rId1334" ref="F1355"/>
    <hyperlink r:id="rId1335" ref="F1356"/>
    <hyperlink r:id="rId1336" ref="F1357"/>
    <hyperlink r:id="rId1337" ref="F1358"/>
    <hyperlink r:id="rId1338" ref="F1359"/>
    <hyperlink r:id="rId1339" ref="F1360"/>
    <hyperlink r:id="rId1340" ref="F1361"/>
    <hyperlink r:id="rId1341" ref="F1362"/>
    <hyperlink r:id="rId1342" ref="F1363"/>
    <hyperlink r:id="rId1343" ref="F1364"/>
    <hyperlink r:id="rId1344" ref="F1365"/>
    <hyperlink r:id="rId1345" ref="F1366"/>
    <hyperlink r:id="rId1346" ref="F1367"/>
    <hyperlink r:id="rId1347" ref="F1368"/>
    <hyperlink r:id="rId1348" ref="F1369"/>
    <hyperlink r:id="rId1349" ref="F1371"/>
    <hyperlink r:id="rId1350" ref="F1372"/>
    <hyperlink r:id="rId1351" ref="F1373"/>
    <hyperlink r:id="rId1352" ref="F1374"/>
    <hyperlink r:id="rId1353" ref="F1375"/>
    <hyperlink r:id="rId1354" ref="F1376"/>
    <hyperlink r:id="rId1355" ref="F1377"/>
    <hyperlink r:id="rId1356" ref="F1378"/>
    <hyperlink r:id="rId1357" ref="F1379"/>
    <hyperlink r:id="rId1358" ref="F1380"/>
    <hyperlink r:id="rId1359" ref="F1381"/>
    <hyperlink r:id="rId1360" ref="F1382"/>
    <hyperlink r:id="rId1361" ref="F1383"/>
    <hyperlink r:id="rId1362" ref="F1384"/>
    <hyperlink r:id="rId1363" ref="F1385"/>
    <hyperlink r:id="rId1364" ref="F1386"/>
    <hyperlink r:id="rId1365" ref="F1387"/>
    <hyperlink r:id="rId1366" ref="F1388"/>
    <hyperlink r:id="rId1367" ref="F1389"/>
    <hyperlink r:id="rId1368" ref="F1390"/>
    <hyperlink r:id="rId1369" ref="F1391"/>
    <hyperlink r:id="rId1370" ref="F1392"/>
    <hyperlink r:id="rId1371" ref="F1393"/>
    <hyperlink r:id="rId1372" ref="F1394"/>
    <hyperlink r:id="rId1373" ref="F1395"/>
    <hyperlink r:id="rId1374" ref="F1396"/>
    <hyperlink r:id="rId1375" ref="F1397"/>
    <hyperlink r:id="rId1376" ref="F1398"/>
    <hyperlink r:id="rId1377" ref="F1399"/>
    <hyperlink r:id="rId1378" ref="F1400"/>
    <hyperlink r:id="rId1379" ref="F1401"/>
    <hyperlink r:id="rId1380" ref="F1402"/>
    <hyperlink r:id="rId1381" ref="F1403"/>
    <hyperlink r:id="rId1382" ref="F1404"/>
    <hyperlink r:id="rId1383" ref="F1405"/>
    <hyperlink r:id="rId1384" ref="F1406"/>
    <hyperlink r:id="rId1385" ref="F1407"/>
    <hyperlink r:id="rId1386" ref="F1408"/>
    <hyperlink r:id="rId1387" ref="F1409"/>
    <hyperlink r:id="rId1388" ref="F1410"/>
    <hyperlink r:id="rId1389" ref="F1411"/>
    <hyperlink r:id="rId1390" ref="F1412"/>
    <hyperlink r:id="rId1391" ref="F1413"/>
    <hyperlink r:id="rId1392" ref="F1414"/>
    <hyperlink r:id="rId1393" ref="F1415"/>
    <hyperlink r:id="rId1394" ref="F1416"/>
    <hyperlink r:id="rId1395" ref="F1417"/>
    <hyperlink r:id="rId1396" ref="F1418"/>
    <hyperlink r:id="rId1397" ref="F1419"/>
    <hyperlink r:id="rId1398" ref="F1420"/>
    <hyperlink r:id="rId1399" ref="F1421"/>
    <hyperlink r:id="rId1400" ref="F1423"/>
    <hyperlink r:id="rId1401" ref="F1424"/>
    <hyperlink r:id="rId1402" ref="F1425"/>
    <hyperlink r:id="rId1403" ref="F1426"/>
    <hyperlink r:id="rId1404" ref="F1427"/>
    <hyperlink r:id="rId1405" ref="F1428"/>
    <hyperlink r:id="rId1406" ref="F1429"/>
    <hyperlink r:id="rId1407" ref="F1430"/>
    <hyperlink r:id="rId1408" ref="F1431"/>
    <hyperlink r:id="rId1409" ref="F1432"/>
    <hyperlink r:id="rId1410" ref="F1433"/>
    <hyperlink r:id="rId1411" ref="F1434"/>
    <hyperlink r:id="rId1412" ref="F1435"/>
    <hyperlink r:id="rId1413" ref="F1436"/>
    <hyperlink r:id="rId1414" ref="F1437"/>
    <hyperlink r:id="rId1415" ref="F1438"/>
    <hyperlink r:id="rId1416" ref="F1439"/>
    <hyperlink r:id="rId1417" ref="F1440"/>
    <hyperlink r:id="rId1418" ref="F1441"/>
    <hyperlink r:id="rId1419" ref="F1442"/>
    <hyperlink r:id="rId1420" ref="F1443"/>
    <hyperlink r:id="rId1421" ref="F1444"/>
    <hyperlink r:id="rId1422" ref="F1445"/>
    <hyperlink r:id="rId1423" ref="F1446"/>
    <hyperlink r:id="rId1424" ref="F1447"/>
    <hyperlink r:id="rId1425" ref="F1448"/>
    <hyperlink r:id="rId1426" ref="F1449"/>
    <hyperlink r:id="rId1427" ref="F1450"/>
    <hyperlink r:id="rId1428" ref="F1451"/>
    <hyperlink r:id="rId1429" ref="F1452"/>
    <hyperlink r:id="rId1430" ref="F1453"/>
    <hyperlink r:id="rId1431" ref="F1454"/>
    <hyperlink r:id="rId1432" ref="F1455"/>
    <hyperlink r:id="rId1433" ref="F1456"/>
    <hyperlink r:id="rId1434" ref="F1457"/>
    <hyperlink r:id="rId1435" ref="F1458"/>
    <hyperlink r:id="rId1436" ref="F1459"/>
    <hyperlink r:id="rId1437" ref="F1460"/>
    <hyperlink r:id="rId1438" ref="F1461"/>
    <hyperlink r:id="rId1439" ref="F1462"/>
    <hyperlink r:id="rId1440" ref="F1463"/>
    <hyperlink r:id="rId1441" ref="F1464"/>
    <hyperlink r:id="rId1442" ref="F1465"/>
    <hyperlink r:id="rId1443" ref="F1466"/>
    <hyperlink r:id="rId1444" ref="F1467"/>
    <hyperlink r:id="rId1445" ref="F1468"/>
    <hyperlink r:id="rId1446" ref="F1469"/>
    <hyperlink r:id="rId1447" ref="F1470"/>
    <hyperlink r:id="rId1448" ref="F1471"/>
    <hyperlink r:id="rId1449" ref="F1472"/>
    <hyperlink r:id="rId1450" ref="F1473"/>
    <hyperlink r:id="rId1451" ref="F1474"/>
    <hyperlink r:id="rId1452" ref="F1475"/>
    <hyperlink r:id="rId1453" ref="F1476"/>
    <hyperlink r:id="rId1454" ref="F1477"/>
    <hyperlink r:id="rId1455" ref="F1478"/>
    <hyperlink r:id="rId1456" ref="F1479"/>
    <hyperlink r:id="rId1457" ref="F1480"/>
    <hyperlink r:id="rId1458" ref="F1481"/>
    <hyperlink r:id="rId1459" ref="F1482"/>
    <hyperlink r:id="rId1460" ref="F1483"/>
    <hyperlink r:id="rId1461" ref="F1484"/>
    <hyperlink r:id="rId1462" ref="F1485"/>
    <hyperlink r:id="rId1463" ref="F1486"/>
    <hyperlink r:id="rId1464" ref="F1487"/>
    <hyperlink r:id="rId1465" ref="F1488"/>
    <hyperlink r:id="rId1466" ref="F1489"/>
    <hyperlink r:id="rId1467" ref="F1490"/>
    <hyperlink r:id="rId1468" ref="F1491"/>
    <hyperlink r:id="rId1469" ref="F1492"/>
    <hyperlink r:id="rId1470" ref="F1493"/>
    <hyperlink r:id="rId1471" ref="F1494"/>
    <hyperlink r:id="rId1472" ref="F1495"/>
    <hyperlink r:id="rId1473" ref="F1496"/>
    <hyperlink r:id="rId1474" ref="F1497"/>
    <hyperlink r:id="rId1475" ref="F1498"/>
    <hyperlink r:id="rId1476" ref="F1499"/>
    <hyperlink r:id="rId1477" ref="F1500"/>
    <hyperlink r:id="rId1478" ref="F1501"/>
    <hyperlink r:id="rId1479" ref="F1502"/>
    <hyperlink r:id="rId1480" ref="F1503"/>
    <hyperlink r:id="rId1481" ref="F1504"/>
    <hyperlink r:id="rId1482" ref="F1505"/>
    <hyperlink r:id="rId1483" ref="F1506"/>
    <hyperlink r:id="rId1484" ref="F1507"/>
    <hyperlink r:id="rId1485" ref="F1508"/>
    <hyperlink r:id="rId1486" ref="F1509"/>
    <hyperlink r:id="rId1487" ref="F1510"/>
    <hyperlink r:id="rId1488" ref="F1511"/>
    <hyperlink r:id="rId1489" ref="F1512"/>
    <hyperlink r:id="rId1490" ref="F1513"/>
    <hyperlink r:id="rId1491" ref="F1514"/>
    <hyperlink r:id="rId1492" ref="F1515"/>
    <hyperlink r:id="rId1493" ref="F1516"/>
    <hyperlink r:id="rId1494" ref="F1517"/>
    <hyperlink r:id="rId1495" ref="F1518"/>
    <hyperlink r:id="rId1496" ref="F1519"/>
    <hyperlink r:id="rId1497" ref="F1520"/>
    <hyperlink r:id="rId1498" ref="F1521"/>
    <hyperlink r:id="rId1499" ref="F1522"/>
    <hyperlink r:id="rId1500" ref="F1523"/>
    <hyperlink r:id="rId1501" ref="F1524"/>
    <hyperlink r:id="rId1502" ref="F1525"/>
    <hyperlink r:id="rId1503" ref="F1526"/>
    <hyperlink r:id="rId1504" ref="F1527"/>
    <hyperlink r:id="rId1505" ref="F1528"/>
    <hyperlink r:id="rId1506" ref="F1529"/>
    <hyperlink r:id="rId1507" ref="F1530"/>
    <hyperlink r:id="rId1508" ref="F1531"/>
    <hyperlink r:id="rId1509" ref="F1532"/>
    <hyperlink r:id="rId1510" ref="F1533"/>
    <hyperlink r:id="rId1511" ref="F1534"/>
    <hyperlink r:id="rId1512" ref="F1535"/>
    <hyperlink r:id="rId1513" ref="F1536"/>
    <hyperlink r:id="rId1514" ref="F1537"/>
    <hyperlink r:id="rId1515" ref="F1538"/>
    <hyperlink r:id="rId1516" ref="F1539"/>
    <hyperlink r:id="rId1517" ref="F1540"/>
    <hyperlink r:id="rId1518" ref="F1541"/>
    <hyperlink r:id="rId1519" ref="F1542"/>
    <hyperlink r:id="rId1520" ref="F1543"/>
    <hyperlink r:id="rId1521" ref="F1544"/>
    <hyperlink r:id="rId1522" ref="F1545"/>
    <hyperlink r:id="rId1523" ref="F1546"/>
    <hyperlink r:id="rId1524" ref="F1547"/>
    <hyperlink r:id="rId1525" ref="F1548"/>
    <hyperlink r:id="rId1526" ref="F1549"/>
    <hyperlink r:id="rId1527" ref="F1550"/>
    <hyperlink r:id="rId1528" ref="F1551"/>
    <hyperlink r:id="rId1529" ref="F1552"/>
    <hyperlink r:id="rId1530" ref="F1553"/>
    <hyperlink r:id="rId1531" ref="F1554"/>
    <hyperlink r:id="rId1532" ref="F1555"/>
    <hyperlink r:id="rId1533" ref="F1556"/>
    <hyperlink r:id="rId1534" ref="F1557"/>
    <hyperlink r:id="rId1535" ref="F1558"/>
    <hyperlink r:id="rId1536" ref="F1559"/>
    <hyperlink r:id="rId1537" ref="F1560"/>
    <hyperlink r:id="rId1538" ref="F1561"/>
    <hyperlink r:id="rId1539" ref="F1562"/>
    <hyperlink r:id="rId1540" ref="F1563"/>
    <hyperlink r:id="rId1541" ref="F1564"/>
    <hyperlink r:id="rId1542" ref="F1565"/>
    <hyperlink r:id="rId1543" ref="F1566"/>
    <hyperlink r:id="rId1544" ref="F1567"/>
    <hyperlink r:id="rId1545" ref="F1568"/>
    <hyperlink r:id="rId1546" ref="F1569"/>
    <hyperlink r:id="rId1547" ref="F1570"/>
    <hyperlink r:id="rId1548" ref="F1571"/>
    <hyperlink r:id="rId1549" ref="F1572"/>
    <hyperlink r:id="rId1550" ref="F1573"/>
    <hyperlink r:id="rId1551" ref="F1574"/>
    <hyperlink r:id="rId1552" ref="F1575"/>
    <hyperlink r:id="rId1553" ref="F1576"/>
    <hyperlink r:id="rId1554" ref="F1577"/>
    <hyperlink r:id="rId1555" ref="F1578"/>
    <hyperlink r:id="rId1556" ref="F1579"/>
    <hyperlink r:id="rId1557" ref="F1580"/>
    <hyperlink r:id="rId1558" ref="F1581"/>
    <hyperlink r:id="rId1559" ref="F1582"/>
    <hyperlink r:id="rId1560" ref="F1583"/>
    <hyperlink r:id="rId1561" ref="F1584"/>
    <hyperlink r:id="rId1562" ref="F1585"/>
    <hyperlink r:id="rId1563" ref="F1586"/>
    <hyperlink r:id="rId1564" ref="F1587"/>
    <hyperlink r:id="rId1565" ref="F1588"/>
    <hyperlink r:id="rId1566" ref="F1589"/>
    <hyperlink r:id="rId1567" ref="F1590"/>
    <hyperlink r:id="rId1568" ref="F1591"/>
    <hyperlink r:id="rId1569" ref="F1592"/>
    <hyperlink r:id="rId1570" ref="F1593"/>
    <hyperlink r:id="rId1571" ref="F1594"/>
    <hyperlink r:id="rId1572" ref="F1595"/>
    <hyperlink r:id="rId1573" ref="F1596"/>
    <hyperlink r:id="rId1574" ref="F1597"/>
    <hyperlink r:id="rId1575" ref="F1598"/>
    <hyperlink r:id="rId1576" ref="F1599"/>
    <hyperlink r:id="rId1577" ref="F1600"/>
    <hyperlink r:id="rId1578" ref="F1601"/>
    <hyperlink r:id="rId1579" ref="F1602"/>
    <hyperlink r:id="rId1580" ref="F1603"/>
    <hyperlink r:id="rId1581" ref="F1604"/>
    <hyperlink r:id="rId1582" ref="F1605"/>
    <hyperlink r:id="rId1583" ref="F1606"/>
    <hyperlink r:id="rId1584" ref="F1607"/>
    <hyperlink r:id="rId1585" ref="F1608"/>
    <hyperlink r:id="rId1586" ref="F1610"/>
    <hyperlink r:id="rId1587" ref="F1611"/>
    <hyperlink r:id="rId1588" ref="F1612"/>
    <hyperlink r:id="rId1589" ref="F1613"/>
  </hyperlinks>
  <drawing r:id="rId1590"/>
</worksheet>
</file>